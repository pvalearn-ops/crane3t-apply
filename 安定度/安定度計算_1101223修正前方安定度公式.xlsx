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14400" windowHeight="11970" tabRatio="736"/>
  </bookViews>
  <sheets>
    <sheet name="安定度計算" sheetId="1" r:id="rId1"/>
    <sheet name="附件1 伸臂重心計算" sheetId="2" r:id="rId2"/>
    <sheet name="附件2 伸臂重量中之前端等價質量" sheetId="4" r:id="rId3"/>
    <sheet name="附件3 車台重心高度計算" sheetId="5" r:id="rId4"/>
    <sheet name="附件4 前方安定度計算" sheetId="3" r:id="rId5"/>
  </sheets>
  <definedNames>
    <definedName name="_xlnm.Print_Titles" localSheetId="4">'附件4 前方安定度計算'!$1:$9</definedName>
    <definedName name="伸臂長">'附件1 伸臂重心計算'!$E$3:$K$3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8" i="3" l="1"/>
  <c r="P59" i="3"/>
  <c r="P60" i="3"/>
  <c r="P61" i="3"/>
  <c r="P62" i="3"/>
  <c r="P63" i="3"/>
  <c r="P64" i="3"/>
  <c r="P65" i="3"/>
  <c r="L29" i="1"/>
  <c r="O9" i="5" l="1"/>
  <c r="O6" i="5"/>
  <c r="J62" i="3" l="1"/>
  <c r="J63" i="3"/>
  <c r="J64" i="3"/>
  <c r="J65" i="3"/>
  <c r="L7" i="1" l="1"/>
  <c r="O12" i="5" l="1"/>
  <c r="L8" i="1"/>
  <c r="O3" i="5" s="1"/>
  <c r="L63" i="3"/>
  <c r="L64" i="3"/>
  <c r="L65" i="3"/>
  <c r="K63" i="3"/>
  <c r="K64" i="3"/>
  <c r="K65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10" i="3"/>
  <c r="C64" i="3"/>
  <c r="E64" i="3"/>
  <c r="F64" i="3"/>
  <c r="C65" i="3"/>
  <c r="E65" i="3"/>
  <c r="F65" i="3"/>
  <c r="C11" i="3"/>
  <c r="F11" i="3"/>
  <c r="G11" i="3"/>
  <c r="C12" i="3"/>
  <c r="F12" i="3"/>
  <c r="G12" i="3"/>
  <c r="C13" i="3"/>
  <c r="F13" i="3"/>
  <c r="G13" i="3"/>
  <c r="C14" i="3"/>
  <c r="F14" i="3"/>
  <c r="G14" i="3"/>
  <c r="C15" i="3"/>
  <c r="F15" i="3"/>
  <c r="G15" i="3"/>
  <c r="C16" i="3"/>
  <c r="F16" i="3"/>
  <c r="G16" i="3"/>
  <c r="C17" i="3"/>
  <c r="F17" i="3"/>
  <c r="G17" i="3"/>
  <c r="C18" i="3"/>
  <c r="F18" i="3"/>
  <c r="G18" i="3"/>
  <c r="C19" i="3"/>
  <c r="F19" i="3"/>
  <c r="G19" i="3"/>
  <c r="C20" i="3"/>
  <c r="F20" i="3"/>
  <c r="G20" i="3"/>
  <c r="C21" i="3"/>
  <c r="F21" i="3"/>
  <c r="G21" i="3"/>
  <c r="C22" i="3"/>
  <c r="F22" i="3"/>
  <c r="G22" i="3"/>
  <c r="C23" i="3"/>
  <c r="F23" i="3"/>
  <c r="G23" i="3"/>
  <c r="C24" i="3"/>
  <c r="F24" i="3"/>
  <c r="G24" i="3"/>
  <c r="C25" i="3"/>
  <c r="F25" i="3"/>
  <c r="G25" i="3"/>
  <c r="C26" i="3"/>
  <c r="F26" i="3"/>
  <c r="G26" i="3"/>
  <c r="C27" i="3"/>
  <c r="F27" i="3"/>
  <c r="G27" i="3"/>
  <c r="C28" i="3"/>
  <c r="F28" i="3"/>
  <c r="G28" i="3"/>
  <c r="C29" i="3"/>
  <c r="F29" i="3"/>
  <c r="G29" i="3"/>
  <c r="C30" i="3"/>
  <c r="F30" i="3"/>
  <c r="G30" i="3"/>
  <c r="C31" i="3"/>
  <c r="F31" i="3"/>
  <c r="G31" i="3"/>
  <c r="C32" i="3"/>
  <c r="F32" i="3"/>
  <c r="G32" i="3"/>
  <c r="C33" i="3"/>
  <c r="F33" i="3"/>
  <c r="G33" i="3"/>
  <c r="C34" i="3"/>
  <c r="F34" i="3"/>
  <c r="G34" i="3"/>
  <c r="C35" i="3"/>
  <c r="F35" i="3"/>
  <c r="G35" i="3"/>
  <c r="C36" i="3"/>
  <c r="F36" i="3"/>
  <c r="G36" i="3"/>
  <c r="C37" i="3"/>
  <c r="F37" i="3"/>
  <c r="G37" i="3"/>
  <c r="C38" i="3"/>
  <c r="F38" i="3"/>
  <c r="G38" i="3"/>
  <c r="C39" i="3"/>
  <c r="F39" i="3"/>
  <c r="G39" i="3"/>
  <c r="C40" i="3"/>
  <c r="F40" i="3"/>
  <c r="G40" i="3"/>
  <c r="C41" i="3"/>
  <c r="F41" i="3"/>
  <c r="G41" i="3"/>
  <c r="C42" i="3"/>
  <c r="F42" i="3"/>
  <c r="G42" i="3"/>
  <c r="C43" i="3"/>
  <c r="F43" i="3"/>
  <c r="G43" i="3"/>
  <c r="C44" i="3"/>
  <c r="F44" i="3"/>
  <c r="G44" i="3"/>
  <c r="C45" i="3"/>
  <c r="F45" i="3"/>
  <c r="G45" i="3"/>
  <c r="C46" i="3"/>
  <c r="F46" i="3"/>
  <c r="G46" i="3"/>
  <c r="C47" i="3"/>
  <c r="F47" i="3"/>
  <c r="G47" i="3"/>
  <c r="C48" i="3"/>
  <c r="F48" i="3"/>
  <c r="G48" i="3"/>
  <c r="C49" i="3"/>
  <c r="F49" i="3"/>
  <c r="G49" i="3"/>
  <c r="C50" i="3"/>
  <c r="F50" i="3"/>
  <c r="G50" i="3"/>
  <c r="C51" i="3"/>
  <c r="F51" i="3"/>
  <c r="G51" i="3"/>
  <c r="C52" i="3"/>
  <c r="F52" i="3"/>
  <c r="G52" i="3"/>
  <c r="C53" i="3"/>
  <c r="F53" i="3"/>
  <c r="G53" i="3"/>
  <c r="C54" i="3"/>
  <c r="F54" i="3"/>
  <c r="G54" i="3"/>
  <c r="C55" i="3"/>
  <c r="F55" i="3"/>
  <c r="G55" i="3"/>
  <c r="C56" i="3"/>
  <c r="F56" i="3"/>
  <c r="G56" i="3"/>
  <c r="C57" i="3"/>
  <c r="F57" i="3"/>
  <c r="G57" i="3"/>
  <c r="C58" i="3"/>
  <c r="F58" i="3"/>
  <c r="G58" i="3"/>
  <c r="C59" i="3"/>
  <c r="F59" i="3"/>
  <c r="G59" i="3"/>
  <c r="C60" i="3"/>
  <c r="F60" i="3"/>
  <c r="G60" i="3"/>
  <c r="C61" i="3"/>
  <c r="F61" i="3"/>
  <c r="G61" i="3"/>
  <c r="C62" i="3"/>
  <c r="E62" i="3"/>
  <c r="K62" i="3" s="1"/>
  <c r="F62" i="3"/>
  <c r="G62" i="3"/>
  <c r="I62" i="3"/>
  <c r="M62" i="3"/>
  <c r="N62" i="3"/>
  <c r="C63" i="3"/>
  <c r="E63" i="3"/>
  <c r="F63" i="3"/>
  <c r="G63" i="3"/>
  <c r="I63" i="3"/>
  <c r="M63" i="3"/>
  <c r="N63" i="3"/>
  <c r="G64" i="3"/>
  <c r="I64" i="3"/>
  <c r="M64" i="3"/>
  <c r="N64" i="3"/>
  <c r="G65" i="3"/>
  <c r="I65" i="3"/>
  <c r="M65" i="3"/>
  <c r="N65" i="3"/>
  <c r="O65" i="3"/>
  <c r="G10" i="3"/>
  <c r="F10" i="3"/>
  <c r="C10" i="3"/>
  <c r="L18" i="5" l="1"/>
  <c r="L20" i="5"/>
  <c r="L32" i="1" s="1"/>
  <c r="L17" i="5"/>
  <c r="L62" i="3"/>
  <c r="O63" i="3"/>
  <c r="O62" i="3"/>
  <c r="O64" i="3"/>
  <c r="L17" i="1"/>
  <c r="F3" i="4"/>
  <c r="G3" i="4"/>
  <c r="H3" i="4"/>
  <c r="I3" i="4"/>
  <c r="J3" i="4"/>
  <c r="K3" i="4"/>
  <c r="E3" i="4"/>
  <c r="F5" i="4"/>
  <c r="G5" i="4"/>
  <c r="H5" i="4"/>
  <c r="I5" i="4"/>
  <c r="J5" i="4"/>
  <c r="E5" i="4"/>
  <c r="E11" i="3" l="1"/>
  <c r="E13" i="3"/>
  <c r="E15" i="3"/>
  <c r="E17" i="3"/>
  <c r="E19" i="3"/>
  <c r="E21" i="3"/>
  <c r="E23" i="3"/>
  <c r="E25" i="3"/>
  <c r="E27" i="3"/>
  <c r="E29" i="3"/>
  <c r="E31" i="3"/>
  <c r="E33" i="3"/>
  <c r="E35" i="3"/>
  <c r="E37" i="3"/>
  <c r="E42" i="3"/>
  <c r="E50" i="3"/>
  <c r="E58" i="3"/>
  <c r="E57" i="3"/>
  <c r="E18" i="3"/>
  <c r="E28" i="3"/>
  <c r="E38" i="3"/>
  <c r="E46" i="3"/>
  <c r="E54" i="3"/>
  <c r="E61" i="3"/>
  <c r="E41" i="3"/>
  <c r="E55" i="3"/>
  <c r="E16" i="3"/>
  <c r="E26" i="3"/>
  <c r="E40" i="3"/>
  <c r="E48" i="3"/>
  <c r="E39" i="3"/>
  <c r="E20" i="3"/>
  <c r="E30" i="3"/>
  <c r="E34" i="3"/>
  <c r="E36" i="3"/>
  <c r="E44" i="3"/>
  <c r="E52" i="3"/>
  <c r="E60" i="3"/>
  <c r="E43" i="3"/>
  <c r="E51" i="3"/>
  <c r="E59" i="3"/>
  <c r="E49" i="3"/>
  <c r="E56" i="3"/>
  <c r="E47" i="3"/>
  <c r="E12" i="3"/>
  <c r="E14" i="3"/>
  <c r="E22" i="3"/>
  <c r="E24" i="3"/>
  <c r="E32" i="3"/>
  <c r="E10" i="3"/>
  <c r="E45" i="3"/>
  <c r="E53" i="3"/>
  <c r="L3" i="4"/>
  <c r="L5" i="4"/>
  <c r="K4" i="2" l="1"/>
  <c r="E4" i="2"/>
  <c r="H103" i="1"/>
  <c r="G51" i="1"/>
  <c r="J4" i="2" l="1"/>
  <c r="I4" i="2"/>
  <c r="F4" i="2"/>
  <c r="H4" i="2"/>
  <c r="G4" i="2"/>
  <c r="L28" i="2" l="1" a="1"/>
  <c r="L28" i="2" s="1"/>
  <c r="L25" i="2" a="1"/>
  <c r="L25" i="2" s="1"/>
  <c r="L22" i="2" a="1"/>
  <c r="L22" i="2" s="1"/>
  <c r="L19" i="2" a="1"/>
  <c r="L19" i="2" s="1"/>
  <c r="L16" i="2" a="1"/>
  <c r="L16" i="2" s="1"/>
  <c r="L13" i="2" a="1"/>
  <c r="L13" i="2" s="1"/>
  <c r="L10" i="2" a="1"/>
  <c r="L10" i="2" s="1"/>
  <c r="L8" i="2"/>
  <c r="L4" i="2" l="1" a="1"/>
  <c r="L4" i="2" s="1"/>
  <c r="L7" i="2" a="1"/>
  <c r="L7" i="2" s="1"/>
  <c r="K10" i="2" l="1"/>
  <c r="K28" i="2"/>
  <c r="G28" i="2"/>
  <c r="K22" i="2"/>
  <c r="J28" i="2"/>
  <c r="J30" i="2" s="1" a="1"/>
  <c r="J30" i="2" s="1"/>
  <c r="F28" i="2"/>
  <c r="K16" i="2"/>
  <c r="I28" i="2"/>
  <c r="I30" i="2" s="1" a="1"/>
  <c r="I30" i="2" s="1"/>
  <c r="E28" i="2"/>
  <c r="K19" i="2"/>
  <c r="H28" i="2"/>
  <c r="K25" i="2"/>
  <c r="K13" i="2"/>
  <c r="H22" i="2"/>
  <c r="G16" i="2"/>
  <c r="G13" i="2"/>
  <c r="J10" i="2"/>
  <c r="J12" i="2" s="1" a="1"/>
  <c r="J12" i="2" s="1"/>
  <c r="I13" i="2"/>
  <c r="H16" i="2"/>
  <c r="E25" i="2"/>
  <c r="G10" i="2"/>
  <c r="F10" i="2"/>
  <c r="E13" i="2"/>
  <c r="I25" i="2"/>
  <c r="G22" i="2"/>
  <c r="J19" i="2"/>
  <c r="J21" i="2" s="1" a="1"/>
  <c r="J21" i="2" s="1"/>
  <c r="H25" i="2"/>
  <c r="I22" i="2"/>
  <c r="J16" i="2"/>
  <c r="J18" i="2" s="1" a="1"/>
  <c r="J18" i="2" s="1"/>
  <c r="J22" i="2"/>
  <c r="J24" i="2" s="1" a="1"/>
  <c r="J24" i="2" s="1"/>
  <c r="J13" i="2"/>
  <c r="J15" i="2" s="1" a="1"/>
  <c r="J15" i="2" s="1"/>
  <c r="H19" i="2"/>
  <c r="F25" i="2"/>
  <c r="G19" i="2"/>
  <c r="I10" i="2"/>
  <c r="F19" i="2"/>
  <c r="F16" i="2"/>
  <c r="E22" i="2"/>
  <c r="E16" i="2"/>
  <c r="F22" i="2"/>
  <c r="E10" i="2"/>
  <c r="I19" i="2"/>
  <c r="G25" i="2"/>
  <c r="I16" i="2"/>
  <c r="H13" i="2"/>
  <c r="H10" i="2"/>
  <c r="E19" i="2"/>
  <c r="F13" i="2"/>
  <c r="J25" i="2"/>
  <c r="J27" i="2" s="1" a="1"/>
  <c r="J27" i="2" s="1"/>
  <c r="K8" i="4" a="1"/>
  <c r="K8" i="4" s="1"/>
  <c r="K11" i="4" a="1"/>
  <c r="K11" i="4" s="1"/>
  <c r="K12" i="4" a="1"/>
  <c r="K12" i="4" s="1"/>
  <c r="K13" i="4" s="1"/>
  <c r="L14" i="4"/>
  <c r="L8" i="4"/>
  <c r="K9" i="4" a="1"/>
  <c r="K9" i="4" s="1"/>
  <c r="K10" i="4" s="1"/>
  <c r="L11" i="4"/>
  <c r="K14" i="4" a="1"/>
  <c r="K14" i="4" s="1"/>
  <c r="J50" i="4" a="1"/>
  <c r="J50" i="4" s="1"/>
  <c r="E49" i="4" a="1"/>
  <c r="E49" i="4" s="1"/>
  <c r="I41" i="4" a="1"/>
  <c r="I41" i="4" s="1"/>
  <c r="I42" i="4" s="1"/>
  <c r="L40" i="4"/>
  <c r="J38" i="4" a="1"/>
  <c r="J38" i="4" s="1"/>
  <c r="J39" i="4" s="1"/>
  <c r="I34" i="4" a="1"/>
  <c r="I34" i="4" s="1"/>
  <c r="I32" i="4" a="1"/>
  <c r="I32" i="4" s="1"/>
  <c r="I33" i="4" s="1"/>
  <c r="I31" i="4" a="1"/>
  <c r="I31" i="4" s="1"/>
  <c r="K17" i="4" a="1"/>
  <c r="K17" i="4" s="1"/>
  <c r="I38" i="4" a="1"/>
  <c r="I38" i="4" s="1"/>
  <c r="I39" i="4" s="1"/>
  <c r="E26" i="4" a="1"/>
  <c r="E26" i="4" s="1"/>
  <c r="K24" i="4" a="1"/>
  <c r="K24" i="4" s="1"/>
  <c r="K25" i="4" s="1"/>
  <c r="J43" i="4" a="1"/>
  <c r="J43" i="4" s="1"/>
  <c r="I50" i="4" a="1"/>
  <c r="I50" i="4" s="1"/>
  <c r="I51" i="4" s="1"/>
  <c r="I49" i="4" a="1"/>
  <c r="I49" i="4" s="1"/>
  <c r="J40" i="4" a="1"/>
  <c r="J40" i="4" s="1"/>
  <c r="L26" i="4"/>
  <c r="H50" i="4" a="1"/>
  <c r="H50" i="4" s="1"/>
  <c r="H51" i="4" s="1"/>
  <c r="I40" i="4" a="1"/>
  <c r="I40" i="4" s="1"/>
  <c r="L37" i="4"/>
  <c r="K26" i="4" a="1"/>
  <c r="K26" i="4" s="1"/>
  <c r="F50" i="4" a="1"/>
  <c r="F50" i="4" s="1"/>
  <c r="F51" i="4" s="1"/>
  <c r="J44" i="4" a="1"/>
  <c r="J44" i="4" s="1"/>
  <c r="J45" i="4" s="1"/>
  <c r="G50" i="4" a="1"/>
  <c r="G50" i="4" s="1"/>
  <c r="G51" i="4" s="1"/>
  <c r="H49" i="4" a="1"/>
  <c r="H49" i="4" s="1"/>
  <c r="J47" i="4" a="1"/>
  <c r="J47" i="4" s="1"/>
  <c r="J48" i="4" s="1"/>
  <c r="L43" i="4"/>
  <c r="J37" i="4" a="1"/>
  <c r="J37" i="4" s="1"/>
  <c r="J35" i="4" a="1"/>
  <c r="J35" i="4" s="1"/>
  <c r="J36" i="4" s="1"/>
  <c r="E50" i="4" a="1"/>
  <c r="E50" i="4" s="1"/>
  <c r="E51" i="4" s="1"/>
  <c r="G49" i="4" a="1"/>
  <c r="G49" i="4" s="1"/>
  <c r="L46" i="4"/>
  <c r="I44" i="4" a="1"/>
  <c r="I44" i="4" s="1"/>
  <c r="I45" i="4" s="1"/>
  <c r="I43" i="4" a="1"/>
  <c r="I43" i="4" s="1"/>
  <c r="I37" i="4" a="1"/>
  <c r="I37" i="4" s="1"/>
  <c r="I35" i="4" a="1"/>
  <c r="I35" i="4" s="1"/>
  <c r="I36" i="4" s="1"/>
  <c r="K23" i="4" a="1"/>
  <c r="K23" i="4" s="1"/>
  <c r="L49" i="4"/>
  <c r="F49" i="4" a="1"/>
  <c r="F49" i="4" s="1"/>
  <c r="J46" i="4" a="1"/>
  <c r="J46" i="4" s="1"/>
  <c r="J41" i="4" a="1"/>
  <c r="J41" i="4" s="1"/>
  <c r="J42" i="4" s="1"/>
  <c r="L34" i="4"/>
  <c r="L31" i="4"/>
  <c r="K21" i="4" a="1"/>
  <c r="K21" i="4" s="1"/>
  <c r="K22" i="4" s="1"/>
  <c r="L20" i="4"/>
  <c r="J49" i="4" a="1"/>
  <c r="J49" i="4" s="1"/>
  <c r="I46" i="4" a="1"/>
  <c r="I46" i="4" s="1"/>
  <c r="J34" i="4" a="1"/>
  <c r="J34" i="4" s="1"/>
  <c r="J32" i="4" a="1"/>
  <c r="J32" i="4" s="1"/>
  <c r="J33" i="4" s="1"/>
  <c r="J31" i="4" a="1"/>
  <c r="J31" i="4" s="1"/>
  <c r="K27" i="4" a="1"/>
  <c r="K27" i="4" s="1"/>
  <c r="K28" i="4" s="1"/>
  <c r="E27" i="4" a="1"/>
  <c r="E27" i="4" s="1"/>
  <c r="E28" i="4" s="1"/>
  <c r="I47" i="4" a="1"/>
  <c r="I47" i="4" s="1"/>
  <c r="I48" i="4" s="1"/>
  <c r="K18" i="4" a="1"/>
  <c r="K18" i="4" s="1"/>
  <c r="K19" i="4" s="1"/>
  <c r="L23" i="4"/>
  <c r="L17" i="4"/>
  <c r="K15" i="4" a="1"/>
  <c r="K15" i="4" s="1"/>
  <c r="K16" i="4" s="1"/>
  <c r="K20" i="4" a="1"/>
  <c r="K20" i="4" s="1"/>
  <c r="F26" i="4" a="1"/>
  <c r="F26" i="4" s="1"/>
  <c r="F27" i="4" a="1"/>
  <c r="F27" i="4" s="1"/>
  <c r="F28" i="4" s="1"/>
  <c r="J27" i="4" a="1"/>
  <c r="J27" i="4" s="1"/>
  <c r="J28" i="4" s="1"/>
  <c r="H27" i="4" a="1"/>
  <c r="H27" i="4" s="1"/>
  <c r="H28" i="4" s="1"/>
  <c r="I26" i="4" a="1"/>
  <c r="I26" i="4" s="1"/>
  <c r="J26" i="4" a="1"/>
  <c r="J26" i="4" s="1"/>
  <c r="G27" i="4" a="1"/>
  <c r="G27" i="4" s="1"/>
  <c r="G28" i="4" s="1"/>
  <c r="H26" i="4" a="1"/>
  <c r="H26" i="4" s="1"/>
  <c r="I27" i="4" a="1"/>
  <c r="I27" i="4" s="1"/>
  <c r="I28" i="4" s="1"/>
  <c r="G26" i="4" a="1"/>
  <c r="G26" i="4" s="1"/>
  <c r="G40" i="4" l="1" a="1"/>
  <c r="G40" i="4" s="1"/>
  <c r="E38" i="4" a="1"/>
  <c r="E38" i="4" s="1"/>
  <c r="E35" i="4" a="1"/>
  <c r="E35" i="4" s="1"/>
  <c r="E11" i="4" a="1"/>
  <c r="E11" i="4" s="1"/>
  <c r="H9" i="4" a="1"/>
  <c r="H9" i="4" s="1"/>
  <c r="H35" i="4" a="1"/>
  <c r="H35" i="4" s="1"/>
  <c r="F11" i="4" a="1"/>
  <c r="F11" i="4" s="1"/>
  <c r="H11" i="4" a="1"/>
  <c r="H11" i="4" s="1"/>
  <c r="I9" i="4" a="1"/>
  <c r="I9" i="4" s="1"/>
  <c r="G9" i="4" a="1"/>
  <c r="G9" i="4" s="1"/>
  <c r="G23" i="4" a="1"/>
  <c r="G23" i="4" s="1"/>
  <c r="F8" i="4" a="1"/>
  <c r="F8" i="4" s="1"/>
  <c r="I8" i="4" a="1"/>
  <c r="I8" i="4" s="1"/>
  <c r="J11" i="4" a="1"/>
  <c r="J11" i="4" s="1"/>
  <c r="E14" i="4" a="1"/>
  <c r="E14" i="4" s="1"/>
  <c r="H12" i="4" a="1"/>
  <c r="H12" i="4" s="1"/>
  <c r="H32" i="4" a="1"/>
  <c r="H32" i="4" s="1"/>
  <c r="G14" i="4" a="1"/>
  <c r="G14" i="4" s="1"/>
  <c r="J9" i="4" a="1"/>
  <c r="J9" i="4" s="1"/>
  <c r="G12" i="4" a="1"/>
  <c r="G12" i="4" s="1"/>
  <c r="G34" i="4" a="1"/>
  <c r="G34" i="4" s="1"/>
  <c r="G18" i="4" a="1"/>
  <c r="G18" i="4" s="1"/>
  <c r="H31" i="4" a="1"/>
  <c r="H31" i="4" s="1"/>
  <c r="G35" i="4" a="1"/>
  <c r="G35" i="4" s="1"/>
  <c r="J8" i="4" a="1"/>
  <c r="J8" i="4" s="1"/>
  <c r="I12" i="4" a="1"/>
  <c r="I12" i="4" s="1"/>
  <c r="F14" i="4" a="1"/>
  <c r="F14" i="4" s="1"/>
  <c r="E12" i="4" a="1"/>
  <c r="E12" i="4" s="1"/>
  <c r="H8" i="4" a="1"/>
  <c r="H8" i="4" s="1"/>
  <c r="I14" i="4" a="1"/>
  <c r="I14" i="4" s="1"/>
  <c r="H14" i="4" a="1"/>
  <c r="H14" i="4" s="1"/>
  <c r="H47" i="4" a="1"/>
  <c r="H47" i="4" s="1"/>
  <c r="F12" i="4" a="1"/>
  <c r="F12" i="4" s="1"/>
  <c r="G11" i="4" a="1"/>
  <c r="G11" i="4" s="1"/>
  <c r="E9" i="4" a="1"/>
  <c r="E9" i="4" s="1"/>
  <c r="I18" i="4" a="1"/>
  <c r="I18" i="4" s="1"/>
  <c r="G8" i="4" a="1"/>
  <c r="G8" i="4" s="1"/>
  <c r="F9" i="4" a="1"/>
  <c r="F9" i="4" s="1"/>
  <c r="H21" i="4" a="1"/>
  <c r="H21" i="4" s="1"/>
  <c r="G17" i="4" a="1"/>
  <c r="G17" i="4" s="1"/>
  <c r="J14" i="4" a="1"/>
  <c r="J14" i="4" s="1"/>
  <c r="I11" i="4" a="1"/>
  <c r="I11" i="4" s="1"/>
  <c r="J12" i="4" a="1"/>
  <c r="J12" i="4" s="1"/>
  <c r="E8" i="4" a="1"/>
  <c r="E8" i="4" s="1"/>
  <c r="F44" i="4" a="1"/>
  <c r="F44" i="4" s="1"/>
  <c r="G44" i="4" a="1"/>
  <c r="G44" i="4" s="1"/>
  <c r="I20" i="4" a="1"/>
  <c r="I20" i="4" s="1"/>
  <c r="I15" i="4" a="1"/>
  <c r="I15" i="4" s="1"/>
  <c r="J18" i="4" a="1"/>
  <c r="J18" i="4" s="1"/>
  <c r="J15" i="4" a="1"/>
  <c r="J15" i="4" s="1"/>
  <c r="F17" i="4" a="1"/>
  <c r="F17" i="4" s="1"/>
  <c r="L28" i="4" a="1"/>
  <c r="L28" i="4" s="1"/>
  <c r="E41" i="4" a="1"/>
  <c r="E41" i="4" s="1"/>
  <c r="E20" i="4" a="1"/>
  <c r="E20" i="4" s="1"/>
  <c r="F40" i="4" a="1"/>
  <c r="F40" i="4" s="1"/>
  <c r="E24" i="4" a="1"/>
  <c r="E24" i="4" s="1"/>
  <c r="E46" i="4" a="1"/>
  <c r="E46" i="4" s="1"/>
  <c r="E44" i="4" a="1"/>
  <c r="E44" i="4" s="1"/>
  <c r="G24" i="4" a="1"/>
  <c r="G24" i="4" s="1"/>
  <c r="H17" i="4" a="1"/>
  <c r="H17" i="4" s="1"/>
  <c r="J20" i="4" a="1"/>
  <c r="J20" i="4" s="1"/>
  <c r="J24" i="4" a="1"/>
  <c r="J24" i="4" s="1"/>
  <c r="H43" i="4" a="1"/>
  <c r="H43" i="4" s="1"/>
  <c r="E21" i="4" a="1"/>
  <c r="E21" i="4" s="1"/>
  <c r="G38" i="4" a="1"/>
  <c r="G38" i="4" s="1"/>
  <c r="G31" i="4" a="1"/>
  <c r="G31" i="4" s="1"/>
  <c r="E47" i="4" a="1"/>
  <c r="E47" i="4" s="1"/>
  <c r="E15" i="4" a="1"/>
  <c r="E15" i="4" s="1"/>
  <c r="F46" i="4" a="1"/>
  <c r="F46" i="4" s="1"/>
  <c r="H41" i="4" a="1"/>
  <c r="H41" i="4" s="1"/>
  <c r="F20" i="4" a="1"/>
  <c r="F20" i="4" s="1"/>
  <c r="F21" i="4" a="1"/>
  <c r="F21" i="4" s="1"/>
  <c r="H20" i="4" a="1"/>
  <c r="H20" i="4" s="1"/>
  <c r="I23" i="4" a="1"/>
  <c r="I23" i="4" s="1"/>
  <c r="H44" i="4" a="1"/>
  <c r="H44" i="4" s="1"/>
  <c r="E23" i="4" a="1"/>
  <c r="E23" i="4" s="1"/>
  <c r="F41" i="4" a="1"/>
  <c r="F41" i="4" s="1"/>
  <c r="F47" i="4" a="1"/>
  <c r="F47" i="4" s="1"/>
  <c r="G43" i="4" a="1"/>
  <c r="G43" i="4" s="1"/>
  <c r="E17" i="4" a="1"/>
  <c r="E17" i="4" s="1"/>
  <c r="I17" i="4" a="1"/>
  <c r="I17" i="4" s="1"/>
  <c r="F23" i="4" a="1"/>
  <c r="F23" i="4" s="1"/>
  <c r="H18" i="4" a="1"/>
  <c r="H18" i="4" s="1"/>
  <c r="H15" i="4" a="1"/>
  <c r="H15" i="4" s="1"/>
  <c r="F31" i="4" a="1"/>
  <c r="F31" i="4" s="1"/>
  <c r="E34" i="4" a="1"/>
  <c r="E34" i="4" s="1"/>
  <c r="E31" i="4" a="1"/>
  <c r="E31" i="4" s="1"/>
  <c r="H40" i="4" a="1"/>
  <c r="H40" i="4" s="1"/>
  <c r="H34" i="4" a="1"/>
  <c r="H34" i="4" s="1"/>
  <c r="G46" i="4" a="1"/>
  <c r="G46" i="4" s="1"/>
  <c r="H46" i="4" a="1"/>
  <c r="H46" i="4" s="1"/>
  <c r="F24" i="4" a="1"/>
  <c r="F24" i="4" s="1"/>
  <c r="G21" i="4" a="1"/>
  <c r="G21" i="4" s="1"/>
  <c r="G20" i="4" a="1"/>
  <c r="G20" i="4" s="1"/>
  <c r="F32" i="4" a="1"/>
  <c r="F32" i="4" s="1"/>
  <c r="G37" i="4" a="1"/>
  <c r="G37" i="4" s="1"/>
  <c r="H37" i="4" a="1"/>
  <c r="H37" i="4" s="1"/>
  <c r="F34" i="4" a="1"/>
  <c r="F34" i="4" s="1"/>
  <c r="F43" i="4" a="1"/>
  <c r="F43" i="4" s="1"/>
  <c r="E43" i="4" a="1"/>
  <c r="E43" i="4" s="1"/>
  <c r="F35" i="4" a="1"/>
  <c r="F35" i="4" s="1"/>
  <c r="F37" i="4" a="1"/>
  <c r="F37" i="4" s="1"/>
  <c r="J21" i="4" a="1"/>
  <c r="J21" i="4" s="1"/>
  <c r="I21" i="4" a="1"/>
  <c r="I21" i="4" s="1"/>
  <c r="J23" i="4" a="1"/>
  <c r="J23" i="4" s="1"/>
  <c r="F15" i="4" a="1"/>
  <c r="F15" i="4" s="1"/>
  <c r="F18" i="4" a="1"/>
  <c r="F18" i="4" s="1"/>
  <c r="G15" i="4" a="1"/>
  <c r="G15" i="4" s="1"/>
  <c r="E32" i="4" a="1"/>
  <c r="E32" i="4" s="1"/>
  <c r="G41" i="4" a="1"/>
  <c r="G41" i="4" s="1"/>
  <c r="H38" i="4" a="1"/>
  <c r="H38" i="4" s="1"/>
  <c r="E37" i="4" a="1"/>
  <c r="E37" i="4" s="1"/>
  <c r="G32" i="4" a="1"/>
  <c r="G32" i="4" s="1"/>
  <c r="G47" i="4" a="1"/>
  <c r="G47" i="4" s="1"/>
  <c r="H24" i="4" a="1"/>
  <c r="H24" i="4" s="1"/>
  <c r="J17" i="4" a="1"/>
  <c r="J17" i="4" s="1"/>
  <c r="H23" i="4" a="1"/>
  <c r="H23" i="4" s="1"/>
  <c r="I24" i="4" a="1"/>
  <c r="I24" i="4" s="1"/>
  <c r="E40" i="4" a="1"/>
  <c r="E40" i="4" s="1"/>
  <c r="E18" i="4" a="1"/>
  <c r="E18" i="4" s="1"/>
  <c r="F38" i="4" a="1"/>
  <c r="F38" i="4" s="1"/>
  <c r="L51" i="4" a="1"/>
  <c r="L51" i="4" s="1"/>
  <c r="I21" i="2" a="1"/>
  <c r="I21" i="2" s="1"/>
  <c r="E30" i="2" a="1"/>
  <c r="E30" i="2" s="1"/>
  <c r="E15" i="2" a="1"/>
  <c r="E15" i="2" s="1"/>
  <c r="G21" i="2" a="1"/>
  <c r="G21" i="2" s="1"/>
  <c r="E21" i="2" a="1"/>
  <c r="E21" i="2" s="1"/>
  <c r="F18" i="2" a="1"/>
  <c r="F18" i="2" s="1"/>
  <c r="G30" i="2" a="1"/>
  <c r="G30" i="2" s="1"/>
  <c r="H30" i="2" a="1"/>
  <c r="H30" i="2" s="1"/>
  <c r="H24" i="2" a="1"/>
  <c r="H24" i="2" s="1"/>
  <c r="F24" i="2" a="1"/>
  <c r="F24" i="2" s="1"/>
  <c r="F12" i="2" a="1"/>
  <c r="F12" i="2" s="1"/>
  <c r="F30" i="2" a="1"/>
  <c r="F30" i="2" s="1"/>
  <c r="F26" i="2"/>
  <c r="F27" i="2" a="1"/>
  <c r="F27" i="2" s="1"/>
  <c r="G12" i="2" a="1"/>
  <c r="G12" i="2" s="1"/>
  <c r="I15" i="2" a="1"/>
  <c r="I15" i="2" s="1"/>
  <c r="I12" i="2" a="1"/>
  <c r="I12" i="2" s="1"/>
  <c r="G18" i="2" a="1"/>
  <c r="G18" i="2" s="1"/>
  <c r="F21" i="2" a="1"/>
  <c r="F21" i="2" s="1"/>
  <c r="H21" i="2" a="1"/>
  <c r="H21" i="2" s="1"/>
  <c r="I24" i="2" a="1"/>
  <c r="I24" i="2" s="1"/>
  <c r="H15" i="2" a="1"/>
  <c r="H15" i="2" s="1"/>
  <c r="G27" i="2" a="1"/>
  <c r="G27" i="2" s="1"/>
  <c r="I18" i="2" a="1"/>
  <c r="I18" i="2" s="1"/>
  <c r="E27" i="2" a="1"/>
  <c r="E27" i="2" s="1"/>
  <c r="I27" i="2" a="1"/>
  <c r="I27" i="2" s="1"/>
  <c r="E18" i="2" a="1"/>
  <c r="E18" i="2" s="1"/>
  <c r="G15" i="2" a="1"/>
  <c r="G15" i="2" s="1"/>
  <c r="G24" i="2" a="1"/>
  <c r="G24" i="2" s="1"/>
  <c r="H18" i="2" a="1"/>
  <c r="H18" i="2" s="1"/>
  <c r="E24" i="2" a="1"/>
  <c r="E24" i="2" s="1"/>
  <c r="H27" i="2" a="1"/>
  <c r="H27" i="2" s="1"/>
  <c r="E12" i="2" a="1"/>
  <c r="E12" i="2" s="1"/>
  <c r="F15" i="2" a="1"/>
  <c r="F15" i="2" s="1"/>
  <c r="H12" i="2" a="1"/>
  <c r="H12" i="2" s="1"/>
  <c r="F14" i="2" a="1"/>
  <c r="F14" i="2" s="1"/>
  <c r="K14" i="2" a="1"/>
  <c r="K14" i="2" s="1"/>
  <c r="I14" i="2" a="1"/>
  <c r="I14" i="2" s="1"/>
  <c r="J14" i="2" a="1"/>
  <c r="J14" i="2" s="1"/>
  <c r="G14" i="2" a="1"/>
  <c r="G14" i="2" s="1"/>
  <c r="H14" i="2" a="1"/>
  <c r="H14" i="2" s="1"/>
  <c r="F17" i="2" l="1" a="1"/>
  <c r="F17" i="2" s="1"/>
  <c r="G17" i="2" a="1"/>
  <c r="G17" i="2" s="1"/>
  <c r="H17" i="2" a="1"/>
  <c r="H17" i="2" s="1"/>
  <c r="K17" i="2" a="1"/>
  <c r="K17" i="2" s="1"/>
  <c r="F20" i="2" a="1"/>
  <c r="F20" i="2" s="1"/>
  <c r="G20" i="2" a="1"/>
  <c r="G20" i="2" s="1"/>
  <c r="K20" i="2" a="1"/>
  <c r="K20" i="2" s="1"/>
  <c r="K29" i="2" a="1"/>
  <c r="K29" i="2" s="1"/>
  <c r="J29" i="2" a="1"/>
  <c r="J29" i="2" s="1"/>
  <c r="I29" i="2" a="1"/>
  <c r="I29" i="2" s="1"/>
  <c r="H29" i="2" a="1"/>
  <c r="H29" i="2" s="1"/>
  <c r="G29" i="2" a="1"/>
  <c r="G29" i="2" s="1"/>
  <c r="F29" i="2" a="1"/>
  <c r="F29" i="2" s="1"/>
  <c r="E29" i="2"/>
  <c r="K26" i="2" a="1"/>
  <c r="K26" i="2" s="1"/>
  <c r="J26" i="2" a="1"/>
  <c r="J26" i="2" s="1"/>
  <c r="I26" i="2" a="1"/>
  <c r="I26" i="2" s="1"/>
  <c r="E26" i="2"/>
  <c r="K23" i="2" a="1"/>
  <c r="K23" i="2" s="1"/>
  <c r="J23" i="2" a="1"/>
  <c r="J23" i="2" s="1"/>
  <c r="I23" i="2" a="1"/>
  <c r="I23" i="2" s="1"/>
  <c r="H23" i="2" a="1"/>
  <c r="H23" i="2" s="1"/>
  <c r="G23" i="2" a="1"/>
  <c r="G23" i="2" s="1"/>
  <c r="F23" i="2" a="1"/>
  <c r="F23" i="2" s="1"/>
  <c r="E23" i="2"/>
  <c r="E20" i="2"/>
  <c r="E17" i="2"/>
  <c r="E14" i="2"/>
  <c r="K11" i="2" a="1"/>
  <c r="K11" i="2" s="1"/>
  <c r="E11" i="2"/>
  <c r="F11" i="2" a="1"/>
  <c r="F11" i="2" s="1"/>
  <c r="H11" i="2" a="1"/>
  <c r="H11" i="2" s="1"/>
  <c r="I11" i="2" a="1"/>
  <c r="I11" i="2" s="1"/>
  <c r="J11" i="2" a="1"/>
  <c r="J11" i="2" s="1"/>
  <c r="G11" i="2" a="1"/>
  <c r="G11" i="2" s="1"/>
  <c r="L5" i="2"/>
  <c r="O19" i="1"/>
  <c r="L14" i="2" l="1" a="1"/>
  <c r="L14" i="2" s="1"/>
  <c r="L29" i="2" a="1"/>
  <c r="L29" i="2" s="1"/>
  <c r="G67" i="1"/>
  <c r="N31" i="1"/>
  <c r="D103" i="1" s="1"/>
  <c r="K103" i="1" s="1"/>
  <c r="M103" i="1" s="1"/>
  <c r="L11" i="2" a="1"/>
  <c r="L11" i="2" s="1"/>
  <c r="L23" i="2" a="1"/>
  <c r="L23" i="2" s="1"/>
  <c r="J20" i="2" a="1"/>
  <c r="J20" i="2" s="1"/>
  <c r="H26" i="2" a="1"/>
  <c r="H26" i="2" s="1"/>
  <c r="I20" i="2" a="1"/>
  <c r="I20" i="2" s="1"/>
  <c r="J17" i="2" a="1"/>
  <c r="J17" i="2" s="1"/>
  <c r="G26" i="2" a="1"/>
  <c r="G26" i="2" s="1"/>
  <c r="H20" i="2" a="1"/>
  <c r="H20" i="2" s="1"/>
  <c r="I17" i="2" a="1"/>
  <c r="I17" i="2" s="1"/>
  <c r="I10" i="4" l="1"/>
  <c r="H10" i="4"/>
  <c r="G10" i="4"/>
  <c r="E10" i="4"/>
  <c r="J10" i="4"/>
  <c r="F10" i="4"/>
  <c r="H13" i="4"/>
  <c r="E13" i="4"/>
  <c r="J13" i="4"/>
  <c r="G13" i="4"/>
  <c r="F13" i="4"/>
  <c r="I13" i="4"/>
  <c r="H22" i="4"/>
  <c r="E45" i="4"/>
  <c r="E22" i="4"/>
  <c r="F45" i="4"/>
  <c r="I22" i="4"/>
  <c r="J22" i="4"/>
  <c r="G45" i="4"/>
  <c r="G22" i="4"/>
  <c r="F22" i="4"/>
  <c r="H45" i="4"/>
  <c r="H33" i="4"/>
  <c r="G33" i="4"/>
  <c r="F33" i="4"/>
  <c r="E33" i="4"/>
  <c r="E36" i="4"/>
  <c r="G36" i="4"/>
  <c r="H36" i="4"/>
  <c r="F36" i="4"/>
  <c r="L18" i="1"/>
  <c r="D67" i="1" s="1"/>
  <c r="J67" i="1" s="1"/>
  <c r="L67" i="1" s="1"/>
  <c r="L17" i="2" a="1"/>
  <c r="L17" i="2" s="1"/>
  <c r="L26" i="2" a="1"/>
  <c r="L26" i="2" s="1"/>
  <c r="L20" i="2" a="1"/>
  <c r="L20" i="2" s="1"/>
  <c r="I38" i="3" s="1"/>
  <c r="I40" i="3" l="1"/>
  <c r="K40" i="3" s="1"/>
  <c r="I46" i="3"/>
  <c r="J46" i="3" s="1"/>
  <c r="I49" i="3"/>
  <c r="J49" i="3" s="1"/>
  <c r="I42" i="3"/>
  <c r="J42" i="3" s="1"/>
  <c r="I44" i="3"/>
  <c r="J44" i="3" s="1"/>
  <c r="I41" i="3"/>
  <c r="J41" i="3" s="1"/>
  <c r="I48" i="3"/>
  <c r="J48" i="3" s="1"/>
  <c r="I45" i="3"/>
  <c r="J45" i="3" s="1"/>
  <c r="I47" i="3"/>
  <c r="K47" i="3" s="1"/>
  <c r="I43" i="3"/>
  <c r="J43" i="3" s="1"/>
  <c r="I39" i="3"/>
  <c r="J39" i="3" s="1"/>
  <c r="K38" i="3"/>
  <c r="J38" i="3"/>
  <c r="I51" i="3"/>
  <c r="I55" i="3"/>
  <c r="I59" i="3"/>
  <c r="I54" i="3"/>
  <c r="I58" i="3"/>
  <c r="I50" i="3"/>
  <c r="I57" i="3"/>
  <c r="I61" i="3"/>
  <c r="I52" i="3"/>
  <c r="I56" i="3"/>
  <c r="I60" i="3"/>
  <c r="I53" i="3"/>
  <c r="I14" i="3"/>
  <c r="I22" i="3"/>
  <c r="I30" i="3"/>
  <c r="I12" i="3"/>
  <c r="I20" i="3"/>
  <c r="I11" i="3"/>
  <c r="I13" i="3"/>
  <c r="I21" i="3"/>
  <c r="I29" i="3"/>
  <c r="I37" i="3"/>
  <c r="I28" i="3"/>
  <c r="I36" i="3"/>
  <c r="I19" i="3"/>
  <c r="I27" i="3"/>
  <c r="I35" i="3"/>
  <c r="I18" i="3"/>
  <c r="I17" i="3"/>
  <c r="I25" i="3"/>
  <c r="I33" i="3"/>
  <c r="I26" i="3"/>
  <c r="I34" i="3"/>
  <c r="I16" i="3"/>
  <c r="I24" i="3"/>
  <c r="I32" i="3"/>
  <c r="I10" i="3"/>
  <c r="J10" i="3" s="1"/>
  <c r="I15" i="3"/>
  <c r="I23" i="3"/>
  <c r="I31" i="3"/>
  <c r="L13" i="4" a="1"/>
  <c r="L13" i="4" s="1"/>
  <c r="L10" i="4" a="1"/>
  <c r="L10" i="4" s="1"/>
  <c r="L36" i="4" a="1"/>
  <c r="L36" i="4" s="1"/>
  <c r="L22" i="4" a="1"/>
  <c r="L22" i="4" s="1"/>
  <c r="E39" i="4"/>
  <c r="E16" i="4"/>
  <c r="F39" i="4"/>
  <c r="H16" i="4"/>
  <c r="J16" i="4"/>
  <c r="H39" i="4"/>
  <c r="G16" i="4"/>
  <c r="G39" i="4"/>
  <c r="F16" i="4"/>
  <c r="I16" i="4"/>
  <c r="L45" i="4" a="1"/>
  <c r="L45" i="4" s="1"/>
  <c r="I19" i="4"/>
  <c r="G19" i="4"/>
  <c r="J19" i="4"/>
  <c r="E19" i="4"/>
  <c r="F19" i="4"/>
  <c r="G42" i="4"/>
  <c r="H19" i="4"/>
  <c r="F42" i="4"/>
  <c r="E42" i="4"/>
  <c r="H42" i="4"/>
  <c r="L33" i="4" a="1"/>
  <c r="L33" i="4" s="1"/>
  <c r="H48" i="4"/>
  <c r="J25" i="4"/>
  <c r="G48" i="4"/>
  <c r="E48" i="4"/>
  <c r="I25" i="4"/>
  <c r="H25" i="4"/>
  <c r="F25" i="4"/>
  <c r="E25" i="4"/>
  <c r="F48" i="4"/>
  <c r="G25" i="4"/>
  <c r="L24" i="1"/>
  <c r="D51" i="1" s="1"/>
  <c r="J51" i="1" s="1"/>
  <c r="L51" i="1" s="1"/>
  <c r="L38" i="3" l="1"/>
  <c r="L47" i="3"/>
  <c r="L40" i="3"/>
  <c r="K46" i="3"/>
  <c r="J40" i="3"/>
  <c r="K48" i="3"/>
  <c r="K42" i="3"/>
  <c r="K45" i="3"/>
  <c r="K49" i="3"/>
  <c r="J47" i="3"/>
  <c r="K44" i="3"/>
  <c r="K39" i="3"/>
  <c r="K43" i="3"/>
  <c r="K41" i="3"/>
  <c r="K11" i="3"/>
  <c r="J11" i="3"/>
  <c r="K20" i="3"/>
  <c r="J20" i="3"/>
  <c r="K31" i="3"/>
  <c r="J31" i="3"/>
  <c r="K60" i="3"/>
  <c r="L60" i="3" s="1"/>
  <c r="J60" i="3"/>
  <c r="K28" i="3"/>
  <c r="J28" i="3"/>
  <c r="K15" i="3"/>
  <c r="J15" i="3"/>
  <c r="K22" i="3"/>
  <c r="J22" i="3"/>
  <c r="K52" i="3"/>
  <c r="J52" i="3"/>
  <c r="K17" i="3"/>
  <c r="J17" i="3"/>
  <c r="K14" i="3"/>
  <c r="J14" i="3"/>
  <c r="K32" i="3"/>
  <c r="J32" i="3"/>
  <c r="K18" i="3"/>
  <c r="J18" i="3"/>
  <c r="K21" i="3"/>
  <c r="J21" i="3"/>
  <c r="K57" i="3"/>
  <c r="J57" i="3"/>
  <c r="K58" i="3"/>
  <c r="L58" i="3" s="1"/>
  <c r="J58" i="3"/>
  <c r="K34" i="3"/>
  <c r="J34" i="3"/>
  <c r="K53" i="3"/>
  <c r="J53" i="3"/>
  <c r="K36" i="3"/>
  <c r="J36" i="3"/>
  <c r="K33" i="3"/>
  <c r="J33" i="3"/>
  <c r="K30" i="3"/>
  <c r="J30" i="3"/>
  <c r="K56" i="3"/>
  <c r="J56" i="3"/>
  <c r="K25" i="3"/>
  <c r="J25" i="3"/>
  <c r="K51" i="3"/>
  <c r="J51" i="3"/>
  <c r="K29" i="3"/>
  <c r="J29" i="3"/>
  <c r="K61" i="3"/>
  <c r="L61" i="3" s="1"/>
  <c r="J61" i="3"/>
  <c r="K24" i="3"/>
  <c r="J24" i="3"/>
  <c r="K35" i="3"/>
  <c r="J35" i="3"/>
  <c r="K13" i="3"/>
  <c r="J13" i="3"/>
  <c r="K50" i="3"/>
  <c r="J50" i="3"/>
  <c r="K27" i="3"/>
  <c r="J27" i="3"/>
  <c r="K19" i="3"/>
  <c r="J19" i="3"/>
  <c r="K54" i="3"/>
  <c r="J54" i="3"/>
  <c r="K12" i="3"/>
  <c r="J12" i="3"/>
  <c r="K55" i="3"/>
  <c r="J55" i="3"/>
  <c r="K16" i="3"/>
  <c r="J16" i="3"/>
  <c r="K26" i="3"/>
  <c r="J26" i="3"/>
  <c r="K59" i="3"/>
  <c r="L59" i="3" s="1"/>
  <c r="J59" i="3"/>
  <c r="K23" i="3"/>
  <c r="J23" i="3"/>
  <c r="K37" i="3"/>
  <c r="J37" i="3"/>
  <c r="K10" i="3"/>
  <c r="L39" i="4" a="1"/>
  <c r="L39" i="4" s="1"/>
  <c r="L42" i="4" a="1"/>
  <c r="L42" i="4" s="1"/>
  <c r="N38" i="3" s="1"/>
  <c r="L19" i="4" a="1"/>
  <c r="L19" i="4" s="1"/>
  <c r="M44" i="3" s="1"/>
  <c r="L48" i="4" a="1"/>
  <c r="L48" i="4" s="1"/>
  <c r="L16" i="4" a="1"/>
  <c r="L16" i="4" s="1"/>
  <c r="L25" i="4" a="1"/>
  <c r="L25" i="4" s="1"/>
  <c r="L34" i="3" l="1"/>
  <c r="L14" i="3"/>
  <c r="L49" i="3"/>
  <c r="L25" i="3"/>
  <c r="L45" i="3"/>
  <c r="L55" i="3"/>
  <c r="L17" i="3"/>
  <c r="L31" i="3"/>
  <c r="L42" i="3"/>
  <c r="L12" i="3"/>
  <c r="L48" i="3"/>
  <c r="L23" i="3"/>
  <c r="L57" i="3"/>
  <c r="L52" i="3"/>
  <c r="L20" i="3"/>
  <c r="L30" i="3"/>
  <c r="L46" i="3"/>
  <c r="L54" i="3"/>
  <c r="L21" i="3"/>
  <c r="L22" i="3"/>
  <c r="L11" i="3"/>
  <c r="L13" i="3"/>
  <c r="L33" i="3"/>
  <c r="L41" i="3"/>
  <c r="L24" i="3"/>
  <c r="L29" i="3"/>
  <c r="L36" i="3"/>
  <c r="L18" i="3"/>
  <c r="L15" i="3"/>
  <c r="L43" i="3"/>
  <c r="L37" i="3"/>
  <c r="L27" i="3"/>
  <c r="L39" i="3"/>
  <c r="L56" i="3"/>
  <c r="L26" i="3"/>
  <c r="L16" i="3"/>
  <c r="L51" i="3"/>
  <c r="L53" i="3"/>
  <c r="L28" i="3"/>
  <c r="L44" i="3"/>
  <c r="L35" i="3"/>
  <c r="L19" i="3"/>
  <c r="L50" i="3"/>
  <c r="L32" i="3"/>
  <c r="M45" i="3"/>
  <c r="M47" i="3"/>
  <c r="N46" i="3"/>
  <c r="N40" i="3"/>
  <c r="M49" i="3"/>
  <c r="M42" i="3"/>
  <c r="M48" i="3"/>
  <c r="N42" i="3"/>
  <c r="N49" i="3"/>
  <c r="N47" i="3"/>
  <c r="M38" i="3"/>
  <c r="O38" i="3" s="1"/>
  <c r="P38" i="3" s="1"/>
  <c r="N45" i="3"/>
  <c r="N39" i="3"/>
  <c r="N43" i="3"/>
  <c r="M41" i="3"/>
  <c r="M43" i="3"/>
  <c r="M40" i="3"/>
  <c r="N41" i="3"/>
  <c r="N44" i="3"/>
  <c r="O44" i="3" s="1"/>
  <c r="P44" i="3" s="1"/>
  <c r="N48" i="3"/>
  <c r="M46" i="3"/>
  <c r="M39" i="3"/>
  <c r="L10" i="3"/>
  <c r="N52" i="3"/>
  <c r="N56" i="3"/>
  <c r="N60" i="3"/>
  <c r="N51" i="3"/>
  <c r="N55" i="3"/>
  <c r="N59" i="3"/>
  <c r="N54" i="3"/>
  <c r="N50" i="3"/>
  <c r="N58" i="3"/>
  <c r="N53" i="3"/>
  <c r="N57" i="3"/>
  <c r="N61" i="3"/>
  <c r="M51" i="3"/>
  <c r="M55" i="3"/>
  <c r="M59" i="3"/>
  <c r="M52" i="3"/>
  <c r="M50" i="3"/>
  <c r="M54" i="3"/>
  <c r="M58" i="3"/>
  <c r="M57" i="3"/>
  <c r="M60" i="3"/>
  <c r="M53" i="3"/>
  <c r="M61" i="3"/>
  <c r="M56" i="3"/>
  <c r="M15" i="3"/>
  <c r="M23" i="3"/>
  <c r="M31" i="3"/>
  <c r="M13" i="3"/>
  <c r="M29" i="3"/>
  <c r="M37" i="3"/>
  <c r="M36" i="3"/>
  <c r="M19" i="3"/>
  <c r="M35" i="3"/>
  <c r="M14" i="3"/>
  <c r="M22" i="3"/>
  <c r="M30" i="3"/>
  <c r="M21" i="3"/>
  <c r="M27" i="3"/>
  <c r="M18" i="3"/>
  <c r="M26" i="3"/>
  <c r="M34" i="3"/>
  <c r="M10" i="3"/>
  <c r="M28" i="3"/>
  <c r="M17" i="3"/>
  <c r="M25" i="3"/>
  <c r="M33" i="3"/>
  <c r="M16" i="3"/>
  <c r="M24" i="3"/>
  <c r="M32" i="3"/>
  <c r="M12" i="3"/>
  <c r="M20" i="3"/>
  <c r="M11" i="3"/>
  <c r="N16" i="3"/>
  <c r="N24" i="3"/>
  <c r="N32" i="3"/>
  <c r="N22" i="3"/>
  <c r="N30" i="3"/>
  <c r="N21" i="3"/>
  <c r="N15" i="3"/>
  <c r="N23" i="3"/>
  <c r="N31" i="3"/>
  <c r="N14" i="3"/>
  <c r="N36" i="3"/>
  <c r="N11" i="3"/>
  <c r="N19" i="3"/>
  <c r="N27" i="3"/>
  <c r="N35" i="3"/>
  <c r="N17" i="3"/>
  <c r="N13" i="3"/>
  <c r="N12" i="3"/>
  <c r="N18" i="3"/>
  <c r="N26" i="3"/>
  <c r="N34" i="3"/>
  <c r="N25" i="3"/>
  <c r="N33" i="3"/>
  <c r="N29" i="3"/>
  <c r="N37" i="3"/>
  <c r="N20" i="3"/>
  <c r="N28" i="3"/>
  <c r="N10" i="3"/>
  <c r="O49" i="3" l="1"/>
  <c r="P49" i="3" s="1"/>
  <c r="O48" i="3"/>
  <c r="P48" i="3" s="1"/>
  <c r="O45" i="3"/>
  <c r="P45" i="3" s="1"/>
  <c r="O39" i="3"/>
  <c r="P39" i="3" s="1"/>
  <c r="O47" i="3"/>
  <c r="P47" i="3" s="1"/>
  <c r="O40" i="3"/>
  <c r="P40" i="3" s="1"/>
  <c r="O46" i="3"/>
  <c r="P46" i="3" s="1"/>
  <c r="O41" i="3"/>
  <c r="P41" i="3" s="1"/>
  <c r="O43" i="3"/>
  <c r="P43" i="3" s="1"/>
  <c r="O42" i="3"/>
  <c r="P42" i="3" s="1"/>
  <c r="O51" i="3"/>
  <c r="P51" i="3" s="1"/>
  <c r="O59" i="3"/>
  <c r="O60" i="3"/>
  <c r="O50" i="3"/>
  <c r="P50" i="3" s="1"/>
  <c r="O57" i="3"/>
  <c r="P57" i="3" s="1"/>
  <c r="O54" i="3"/>
  <c r="P54" i="3" s="1"/>
  <c r="O58" i="3"/>
  <c r="O56" i="3"/>
  <c r="P56" i="3" s="1"/>
  <c r="O52" i="3"/>
  <c r="P52" i="3" s="1"/>
  <c r="O61" i="3"/>
  <c r="O53" i="3"/>
  <c r="P53" i="3" s="1"/>
  <c r="O55" i="3"/>
  <c r="P55" i="3" s="1"/>
  <c r="O24" i="3"/>
  <c r="P24" i="3" s="1"/>
  <c r="O28" i="3"/>
  <c r="P28" i="3" s="1"/>
  <c r="O20" i="3"/>
  <c r="P20" i="3" s="1"/>
  <c r="O16" i="3"/>
  <c r="P16" i="3" s="1"/>
  <c r="O31" i="3"/>
  <c r="P31" i="3" s="1"/>
  <c r="O12" i="3"/>
  <c r="P12" i="3" s="1"/>
  <c r="O13" i="3"/>
  <c r="P13" i="3" s="1"/>
  <c r="O22" i="3"/>
  <c r="P22" i="3" s="1"/>
  <c r="O37" i="3"/>
  <c r="P37" i="3" s="1"/>
  <c r="O32" i="3"/>
  <c r="P32" i="3" s="1"/>
  <c r="O23" i="3"/>
  <c r="P23" i="3" s="1"/>
  <c r="O19" i="3"/>
  <c r="P19" i="3" s="1"/>
  <c r="O25" i="3"/>
  <c r="P25" i="3" s="1"/>
  <c r="O21" i="3"/>
  <c r="P21" i="3" s="1"/>
  <c r="O29" i="3"/>
  <c r="P29" i="3" s="1"/>
  <c r="O33" i="3"/>
  <c r="P33" i="3" s="1"/>
  <c r="O27" i="3"/>
  <c r="P27" i="3" s="1"/>
  <c r="O11" i="3"/>
  <c r="P11" i="3" s="1"/>
  <c r="O17" i="3"/>
  <c r="P17" i="3" s="1"/>
  <c r="O30" i="3"/>
  <c r="P30" i="3" s="1"/>
  <c r="O10" i="3"/>
  <c r="P10" i="3" s="1"/>
  <c r="O14" i="3"/>
  <c r="P14" i="3" s="1"/>
  <c r="O34" i="3"/>
  <c r="P34" i="3" s="1"/>
  <c r="O35" i="3"/>
  <c r="P35" i="3" s="1"/>
  <c r="O15" i="3"/>
  <c r="P15" i="3" s="1"/>
  <c r="O26" i="3"/>
  <c r="P26" i="3" s="1"/>
  <c r="O18" i="3"/>
  <c r="P18" i="3" s="1"/>
  <c r="O36" i="3"/>
  <c r="P36" i="3" s="1"/>
  <c r="I81" i="1" l="1"/>
  <c r="L82" i="1"/>
  <c r="C78" i="1"/>
  <c r="I82" i="1"/>
  <c r="D84" i="1" l="1"/>
  <c r="F84" i="1" s="1"/>
</calcChain>
</file>

<file path=xl/comments1.xml><?xml version="1.0" encoding="utf-8"?>
<comments xmlns="http://schemas.openxmlformats.org/spreadsheetml/2006/main">
  <authors>
    <author>B210</author>
  </authors>
  <commentList>
    <comment ref="A10" authorId="0">
      <text>
        <r>
          <rPr>
            <b/>
            <sz val="9"/>
            <color indexed="81"/>
            <rFont val="細明體"/>
            <family val="3"/>
            <charset val="136"/>
          </rPr>
          <t>1.此欄必需與附件1長度相同
2.最多輸入到第65欄</t>
        </r>
      </text>
    </comment>
  </commentList>
</comments>
</file>

<file path=xl/sharedStrings.xml><?xml version="1.0" encoding="utf-8"?>
<sst xmlns="http://schemas.openxmlformats.org/spreadsheetml/2006/main" count="381" uniqueCount="225">
  <si>
    <t>依據移動式起重機安全檢查構造標準第17條第一項第一款：</t>
    <phoneticPr fontId="1" type="noConversion"/>
  </si>
  <si>
    <t>安定度計算(積載型使用)</t>
    <phoneticPr fontId="1" type="noConversion"/>
  </si>
  <si>
    <t>伸臂中心線之鉛直面與起重機之行駛方向成直角時，位於伸臂所在側支點上之重量，應為起重機重量之百分之十五以上。</t>
    <phoneticPr fontId="1" type="noConversion"/>
  </si>
  <si>
    <t>依據移動式起重機安全檢查構造標準第17條第一項第二款：</t>
    <phoneticPr fontId="1" type="noConversion"/>
  </si>
  <si>
    <t>伸臂中心線之鉛直面與起重機之行駛方向一致時，位於伸臂所在側支點上之重量，應大於起重機重量之百分之十五與平均輪距和軸距之比值之乘積。</t>
    <phoneticPr fontId="1" type="noConversion"/>
  </si>
  <si>
    <t>二、後方安定度</t>
    <phoneticPr fontId="1" type="noConversion"/>
  </si>
  <si>
    <t>一、計算數據：</t>
    <phoneticPr fontId="1" type="noConversion"/>
  </si>
  <si>
    <t>1.</t>
    <phoneticPr fontId="1" type="noConversion"/>
  </si>
  <si>
    <t>2.</t>
  </si>
  <si>
    <t>3.</t>
  </si>
  <si>
    <t>4.</t>
  </si>
  <si>
    <t>5.</t>
  </si>
  <si>
    <t>6.</t>
  </si>
  <si>
    <t>7.</t>
  </si>
  <si>
    <t>8.</t>
  </si>
  <si>
    <t>10.</t>
  </si>
  <si>
    <t>11.</t>
  </si>
  <si>
    <t>=</t>
    <phoneticPr fontId="1" type="noConversion"/>
  </si>
  <si>
    <t>(kg)</t>
    <phoneticPr fontId="1" type="noConversion"/>
  </si>
  <si>
    <t>(B1)</t>
    <phoneticPr fontId="1" type="noConversion"/>
  </si>
  <si>
    <t>(B2)</t>
    <phoneticPr fontId="1" type="noConversion"/>
  </si>
  <si>
    <t>=&gt;  L1  / B1  ≧ 0.15</t>
    <phoneticPr fontId="1" type="noConversion"/>
  </si>
  <si>
    <t>B1：前輪距 (m)</t>
    <phoneticPr fontId="1" type="noConversion"/>
  </si>
  <si>
    <t>前輪距</t>
    <phoneticPr fontId="1" type="noConversion"/>
  </si>
  <si>
    <t>後輪距</t>
    <phoneticPr fontId="1" type="noConversion"/>
  </si>
  <si>
    <t>Ra：伸臂所在側支點上之重量(直角) (kg)</t>
    <phoneticPr fontId="1" type="noConversion"/>
  </si>
  <si>
    <t>Rb：伸臂所在側支點上之重量(平行) (kg)</t>
    <phoneticPr fontId="1" type="noConversion"/>
  </si>
  <si>
    <t>B：平均輪距 (m)</t>
    <phoneticPr fontId="1" type="noConversion"/>
  </si>
  <si>
    <t>H：軸距 (m)</t>
    <phoneticPr fontId="1" type="noConversion"/>
  </si>
  <si>
    <t>(Wb)</t>
    <phoneticPr fontId="1" type="noConversion"/>
  </si>
  <si>
    <t>Wb：起重機重量 (kg)</t>
    <phoneticPr fontId="1" type="noConversion"/>
  </si>
  <si>
    <t>∵ Ra ＝ L1 × Wb / B1</t>
    <phoneticPr fontId="1" type="noConversion"/>
  </si>
  <si>
    <t>Ra ≧ 0.15 × Wb</t>
    <phoneticPr fontId="1" type="noConversion"/>
  </si>
  <si>
    <t xml:space="preserve">∴  L1 × Wb / B1  ≧ 0.15 × Wb </t>
    <phoneticPr fontId="1" type="noConversion"/>
  </si>
  <si>
    <t>Rb ≧ 0.15 × Wb × B / H</t>
    <phoneticPr fontId="1" type="noConversion"/>
  </si>
  <si>
    <t>∵Rb = L2  × Wb / H</t>
    <phoneticPr fontId="1" type="noConversion"/>
  </si>
  <si>
    <t>=&gt;  L2  / B  ≧ 0.15</t>
    <phoneticPr fontId="1" type="noConversion"/>
  </si>
  <si>
    <t>平均輪距</t>
    <phoneticPr fontId="1" type="noConversion"/>
  </si>
  <si>
    <t>(B)</t>
    <phoneticPr fontId="1" type="noConversion"/>
  </si>
  <si>
    <t>(B1+B2) / 2 =</t>
    <phoneticPr fontId="1" type="noConversion"/>
  </si>
  <si>
    <t>三、前方安定度</t>
    <phoneticPr fontId="1" type="noConversion"/>
  </si>
  <si>
    <t>L2：重心到支點距離_側面 (m)</t>
    <phoneticPr fontId="1" type="noConversion"/>
  </si>
  <si>
    <t>重心到支點距離_正面</t>
    <phoneticPr fontId="1" type="noConversion"/>
  </si>
  <si>
    <t>L1：重心到支點距離_正面 (m)</t>
    <phoneticPr fontId="1" type="noConversion"/>
  </si>
  <si>
    <t>(L1)</t>
    <phoneticPr fontId="1" type="noConversion"/>
  </si>
  <si>
    <t>重心到支點距離_側面</t>
    <phoneticPr fontId="1" type="noConversion"/>
  </si>
  <si>
    <t>(L2)</t>
    <phoneticPr fontId="1" type="noConversion"/>
  </si>
  <si>
    <t>腳架、立拱重量</t>
    <phoneticPr fontId="1" type="noConversion"/>
  </si>
  <si>
    <t>吊具組重量</t>
    <phoneticPr fontId="1" type="noConversion"/>
  </si>
  <si>
    <t>(Ws)</t>
    <phoneticPr fontId="1" type="noConversion"/>
  </si>
  <si>
    <t>伸臂重量</t>
    <phoneticPr fontId="1" type="noConversion"/>
  </si>
  <si>
    <t>(Wf)</t>
    <phoneticPr fontId="1" type="noConversion"/>
  </si>
  <si>
    <t>(Wh)</t>
    <phoneticPr fontId="1" type="noConversion"/>
  </si>
  <si>
    <t>吊桿最大起伏角度</t>
    <phoneticPr fontId="1" type="noConversion"/>
  </si>
  <si>
    <t>(度)</t>
    <phoneticPr fontId="1" type="noConversion"/>
  </si>
  <si>
    <t>前輪到旋轉中心距離</t>
    <phoneticPr fontId="1" type="noConversion"/>
  </si>
  <si>
    <t>(S)</t>
    <phoneticPr fontId="1" type="noConversion"/>
  </si>
  <si>
    <t>總和</t>
    <phoneticPr fontId="1" type="noConversion"/>
  </si>
  <si>
    <t>第1節</t>
    <phoneticPr fontId="1" type="noConversion"/>
  </si>
  <si>
    <t>第2節</t>
    <phoneticPr fontId="1" type="noConversion"/>
  </si>
  <si>
    <t>第3節</t>
  </si>
  <si>
    <t>第4節</t>
  </si>
  <si>
    <t>第5節</t>
  </si>
  <si>
    <t>第6節</t>
  </si>
  <si>
    <t>第7節</t>
  </si>
  <si>
    <t>伸臂重心位置</t>
    <phoneticPr fontId="1" type="noConversion"/>
  </si>
  <si>
    <t>油壓缸重心位置</t>
    <phoneticPr fontId="1" type="noConversion"/>
  </si>
  <si>
    <t>伸出比例</t>
    <phoneticPr fontId="1" type="noConversion"/>
  </si>
  <si>
    <t>重心位置</t>
    <phoneticPr fontId="1" type="noConversion"/>
  </si>
  <si>
    <t>伸臂重量(kg)</t>
    <phoneticPr fontId="1" type="noConversion"/>
  </si>
  <si>
    <t>油壓缸重量(kg)</t>
    <phoneticPr fontId="1" type="noConversion"/>
  </si>
  <si>
    <r>
      <t>Σ</t>
    </r>
    <r>
      <rPr>
        <sz val="12"/>
        <color theme="1"/>
        <rFont val="微軟正黑體"/>
        <family val="2"/>
        <charset val="136"/>
      </rPr>
      <t>(第n節伸臂長度 × 第n節伸出比例)</t>
    </r>
    <r>
      <rPr>
        <sz val="12"/>
        <color theme="1"/>
        <rFont val="微軟正黑體"/>
        <family val="1"/>
        <charset val="136"/>
      </rPr>
      <t>-第n節伸臂長度 + Σ(第n+1節伸臂長度 × 第n+1節伸出比例)</t>
    </r>
    <phoneticPr fontId="1" type="noConversion"/>
  </si>
  <si>
    <t>1.計算第n節吊桿重心位置=Σ(第n節伸臂長度 × 第n節伸出比例)-第n節伸臂長度/2</t>
    <phoneticPr fontId="1" type="noConversion"/>
  </si>
  <si>
    <t>2.計算油壓缸重心位置=</t>
    <phoneticPr fontId="1" type="noConversion"/>
  </si>
  <si>
    <r>
      <t>Σ</t>
    </r>
    <r>
      <rPr>
        <sz val="12"/>
        <color theme="1"/>
        <rFont val="微軟正黑體"/>
        <family val="2"/>
        <charset val="136"/>
      </rPr>
      <t>(第n節伸臂重心位置 × 第n節伸臂重量)</t>
    </r>
    <r>
      <rPr>
        <sz val="12"/>
        <color theme="1"/>
        <rFont val="微軟正黑體"/>
        <family val="1"/>
        <charset val="136"/>
      </rPr>
      <t xml:space="preserve"> + Σ(第n節油壓缸重心位置 × 第n節油壓缸重量)</t>
    </r>
    <phoneticPr fontId="1" type="noConversion"/>
  </si>
  <si>
    <t>伸臂總重+油壓缸總重</t>
    <phoneticPr fontId="1" type="noConversion"/>
  </si>
  <si>
    <t>3.重心位置=</t>
    <phoneticPr fontId="1" type="noConversion"/>
  </si>
  <si>
    <t>9.</t>
  </si>
  <si>
    <t>1節時伸臂重心與軸心距離</t>
    <phoneticPr fontId="1" type="noConversion"/>
  </si>
  <si>
    <t>(d1)</t>
    <phoneticPr fontId="1" type="noConversion"/>
  </si>
  <si>
    <t>(cm)</t>
    <phoneticPr fontId="1" type="noConversion"/>
  </si>
  <si>
    <t>Wb</t>
    <phoneticPr fontId="1" type="noConversion"/>
  </si>
  <si>
    <t>軸距</t>
    <phoneticPr fontId="1" type="noConversion"/>
  </si>
  <si>
    <t>(H)</t>
    <phoneticPr fontId="1" type="noConversion"/>
  </si>
  <si>
    <t>12.</t>
  </si>
  <si>
    <t>13.</t>
  </si>
  <si>
    <t>14.</t>
  </si>
  <si>
    <t>=&gt;</t>
    <phoneticPr fontId="1" type="noConversion"/>
  </si>
  <si>
    <t>/</t>
    <phoneticPr fontId="1" type="noConversion"/>
  </si>
  <si>
    <t>2.</t>
    <phoneticPr fontId="1" type="noConversion"/>
  </si>
  <si>
    <t>四、左右方安定度</t>
    <phoneticPr fontId="1" type="noConversion"/>
  </si>
  <si>
    <t>除履帶式起重機外，移動式起重機應具有於行駛方向為水平且堅固地面上，左右方向傾斜三十度時，不致翻倒之左右安定度，並依下列規定計算：</t>
  </si>
  <si>
    <t>一、在無負載狀態下。但燃料、潤滑油、冷卻水等均為滿載，並裝有運轉所必需之設備及裝置等。</t>
  </si>
  <si>
    <t>二、伸臂中心線之鉛直面與起重機行駛方向一致。</t>
  </si>
  <si>
    <t xml:space="preserve"> × √3 /</t>
    <phoneticPr fontId="1" type="noConversion"/>
  </si>
  <si>
    <t>1節時伸臂總長度</t>
    <phoneticPr fontId="1" type="noConversion"/>
  </si>
  <si>
    <t>(cm)--參照明細表</t>
    <phoneticPr fontId="1" type="noConversion"/>
  </si>
  <si>
    <r>
      <t>(θ</t>
    </r>
    <r>
      <rPr>
        <vertAlign val="subscript"/>
        <sz val="12"/>
        <color theme="1"/>
        <rFont val="微軟正黑體"/>
        <family val="2"/>
        <charset val="136"/>
      </rPr>
      <t>m</t>
    </r>
    <r>
      <rPr>
        <sz val="12"/>
        <color theme="1"/>
        <rFont val="微軟正黑體"/>
        <family val="2"/>
        <charset val="136"/>
      </rPr>
      <t>)</t>
    </r>
    <phoneticPr fontId="1" type="noConversion"/>
  </si>
  <si>
    <t>16.</t>
    <phoneticPr fontId="1" type="noConversion"/>
  </si>
  <si>
    <t>伸臂中心線至翻倒支點水平距離</t>
    <phoneticPr fontId="1" type="noConversion"/>
  </si>
  <si>
    <t>起重機重心至地面垂直距離</t>
    <phoneticPr fontId="1" type="noConversion"/>
  </si>
  <si>
    <t>(L')</t>
    <phoneticPr fontId="1" type="noConversion"/>
  </si>
  <si>
    <t>(h)</t>
    <phoneticPr fontId="1" type="noConversion"/>
  </si>
  <si>
    <t>B / 2 =</t>
    <phoneticPr fontId="1" type="noConversion"/>
  </si>
  <si>
    <t>車高</t>
    <phoneticPr fontId="1" type="noConversion"/>
  </si>
  <si>
    <t>(h')</t>
    <phoneticPr fontId="1" type="noConversion"/>
  </si>
  <si>
    <r>
      <t>L' × cos30</t>
    </r>
    <r>
      <rPr>
        <vertAlign val="superscript"/>
        <sz val="12"/>
        <color theme="1"/>
        <rFont val="微軟正黑體"/>
        <family val="2"/>
        <charset val="136"/>
      </rPr>
      <t>∘</t>
    </r>
    <r>
      <rPr>
        <sz val="12"/>
        <color theme="1"/>
        <rFont val="微軟正黑體"/>
        <family val="2"/>
        <charset val="136"/>
      </rPr>
      <t>≧ h' × sin30</t>
    </r>
    <r>
      <rPr>
        <vertAlign val="superscript"/>
        <sz val="12"/>
        <color theme="1"/>
        <rFont val="微軟正黑體"/>
        <family val="2"/>
        <charset val="136"/>
      </rPr>
      <t>∘</t>
    </r>
    <phoneticPr fontId="1" type="noConversion"/>
  </si>
  <si>
    <t>=&gt;L' × √3/2 ≧ h' / 2</t>
    <phoneticPr fontId="1" type="noConversion"/>
  </si>
  <si>
    <t>=&gt;L' × √3/ h' ≧ 1</t>
    <phoneticPr fontId="1" type="noConversion"/>
  </si>
  <si>
    <t>17.</t>
    <phoneticPr fontId="1" type="noConversion"/>
  </si>
  <si>
    <t>18.</t>
    <phoneticPr fontId="1" type="noConversion"/>
  </si>
  <si>
    <t>除水上起重機外，移動式起重機之前方安定度值，應為一‧一五以上，並應依下式計算：</t>
    <phoneticPr fontId="1" type="noConversion"/>
  </si>
  <si>
    <t>SF=</t>
    <phoneticPr fontId="1" type="noConversion"/>
  </si>
  <si>
    <t>(Wr)</t>
    <phoneticPr fontId="1" type="noConversion"/>
  </si>
  <si>
    <t>Wp＋Wa＋Wo</t>
    <phoneticPr fontId="1" type="noConversion"/>
  </si>
  <si>
    <t>Wp＋Wa</t>
    <phoneticPr fontId="1" type="noConversion"/>
  </si>
  <si>
    <t>一、影響前方安定度之重量，應取最不利安定之狀態。</t>
  </si>
  <si>
    <t>二、處於水平且堅固之地面上。</t>
  </si>
  <si>
    <t>≧ 1.15</t>
    <phoneticPr fontId="1" type="noConversion"/>
  </si>
  <si>
    <t>Wa：額定荷重與吊具之質量和 (公噸) 。</t>
  </si>
  <si>
    <t>Wo：安定餘裕荷重 (公噸) 。</t>
  </si>
  <si>
    <t>伸臂長(cm)</t>
    <phoneticPr fontId="1" type="noConversion"/>
  </si>
  <si>
    <t>伸出1節時起點</t>
    <phoneticPr fontId="1" type="noConversion"/>
  </si>
  <si>
    <t>伸出1節時終點</t>
    <phoneticPr fontId="1" type="noConversion"/>
  </si>
  <si>
    <t>伸臂重心計算方式：</t>
    <phoneticPr fontId="1" type="noConversion"/>
  </si>
  <si>
    <t>伸出2節時起點</t>
    <phoneticPr fontId="1" type="noConversion"/>
  </si>
  <si>
    <t>伸臂重量中之前端等價質量</t>
    <phoneticPr fontId="1" type="noConversion"/>
  </si>
  <si>
    <t>吊升荷重</t>
    <phoneticPr fontId="11" type="noConversion"/>
  </si>
  <si>
    <t>作業半徑</t>
    <phoneticPr fontId="11" type="noConversion"/>
  </si>
  <si>
    <t>起重機本體重
(除吊桿)</t>
    <phoneticPr fontId="11" type="noConversion"/>
  </si>
  <si>
    <t>伸臂自重</t>
    <phoneticPr fontId="11" type="noConversion"/>
  </si>
  <si>
    <t>翻倒之負荷荷重</t>
    <phoneticPr fontId="11" type="noConversion"/>
  </si>
  <si>
    <t>安定餘裕荷重</t>
    <phoneticPr fontId="11" type="noConversion"/>
  </si>
  <si>
    <t>(kg)</t>
    <phoneticPr fontId="11" type="noConversion"/>
  </si>
  <si>
    <t>(cm)</t>
    <phoneticPr fontId="11" type="noConversion"/>
  </si>
  <si>
    <t>伸臂超出重心之長度</t>
    <phoneticPr fontId="1" type="noConversion"/>
  </si>
  <si>
    <t>伸臂</t>
    <phoneticPr fontId="1" type="noConversion"/>
  </si>
  <si>
    <t>油壓缸重量中之前端等價質量</t>
    <phoneticPr fontId="1" type="noConversion"/>
  </si>
  <si>
    <t>伸出2節時終點</t>
    <phoneticPr fontId="1" type="noConversion"/>
  </si>
  <si>
    <t>伸出3節時起點</t>
    <phoneticPr fontId="1" type="noConversion"/>
  </si>
  <si>
    <t>伸出3節時終點</t>
    <phoneticPr fontId="1" type="noConversion"/>
  </si>
  <si>
    <t>伸出4節時起點</t>
    <phoneticPr fontId="1" type="noConversion"/>
  </si>
  <si>
    <t>伸出4節時終點</t>
    <phoneticPr fontId="1" type="noConversion"/>
  </si>
  <si>
    <t>伸出5節時起點</t>
    <phoneticPr fontId="1" type="noConversion"/>
  </si>
  <si>
    <t>伸出5節時終點</t>
    <phoneticPr fontId="1" type="noConversion"/>
  </si>
  <si>
    <t>伸出6節時起點</t>
    <phoneticPr fontId="1" type="noConversion"/>
  </si>
  <si>
    <t>伸出6節時終點</t>
    <phoneticPr fontId="1" type="noConversion"/>
  </si>
  <si>
    <t>伸出7節時起點</t>
    <phoneticPr fontId="1" type="noConversion"/>
  </si>
  <si>
    <t>伸出7節時終點</t>
    <phoneticPr fontId="1" type="noConversion"/>
  </si>
  <si>
    <t>油壓缸</t>
    <phoneticPr fontId="1" type="noConversion"/>
  </si>
  <si>
    <t>伸出1節時起點</t>
    <phoneticPr fontId="1" type="noConversion"/>
  </si>
  <si>
    <t>伸出1節時終點</t>
    <phoneticPr fontId="1" type="noConversion"/>
  </si>
  <si>
    <t>超出重心之長度</t>
    <phoneticPr fontId="1" type="noConversion"/>
  </si>
  <si>
    <t>伸出2節時起點</t>
    <phoneticPr fontId="1" type="noConversion"/>
  </si>
  <si>
    <t>伸臂各節計算長度(cm)</t>
    <phoneticPr fontId="1" type="noConversion"/>
  </si>
  <si>
    <t>r</t>
    <phoneticPr fontId="1" type="noConversion"/>
  </si>
  <si>
    <t>Ws+Wf</t>
    <phoneticPr fontId="11" type="noConversion"/>
  </si>
  <si>
    <t>Wr</t>
    <phoneticPr fontId="11" type="noConversion"/>
  </si>
  <si>
    <t>(Lw)</t>
    <phoneticPr fontId="1" type="noConversion"/>
  </si>
  <si>
    <t>15.</t>
  </si>
  <si>
    <t>19.</t>
    <phoneticPr fontId="1" type="noConversion"/>
  </si>
  <si>
    <t>外伸腳距離</t>
    <phoneticPr fontId="1" type="noConversion"/>
  </si>
  <si>
    <t>外伸腳距離</t>
    <phoneticPr fontId="11" type="noConversion"/>
  </si>
  <si>
    <t>Lw</t>
    <phoneticPr fontId="11" type="noConversion"/>
  </si>
  <si>
    <t>伸臂長度</t>
    <phoneticPr fontId="1" type="noConversion"/>
  </si>
  <si>
    <t>L</t>
    <phoneticPr fontId="1" type="noConversion"/>
  </si>
  <si>
    <t>車重(不含起重機)</t>
    <phoneticPr fontId="1" type="noConversion"/>
  </si>
  <si>
    <t>起重機重量(車重+起重機)</t>
    <phoneticPr fontId="1" type="noConversion"/>
  </si>
  <si>
    <t>作業角度</t>
    <phoneticPr fontId="1" type="noConversion"/>
  </si>
  <si>
    <t>(d)</t>
    <phoneticPr fontId="1" type="noConversion"/>
  </si>
  <si>
    <t>Wa</t>
    <phoneticPr fontId="11" type="noConversion"/>
  </si>
  <si>
    <t>吊具組重量</t>
    <phoneticPr fontId="1" type="noConversion"/>
  </si>
  <si>
    <t>Wh</t>
    <phoneticPr fontId="1" type="noConversion"/>
  </si>
  <si>
    <t>(θ)</t>
    <phoneticPr fontId="1" type="noConversion"/>
  </si>
  <si>
    <t>(度)</t>
    <phoneticPr fontId="1" type="noConversion"/>
  </si>
  <si>
    <t>Wo</t>
    <phoneticPr fontId="1" type="noConversion"/>
  </si>
  <si>
    <t>Wo'</t>
    <phoneticPr fontId="1" type="noConversion"/>
  </si>
  <si>
    <t>r－Lw/2</t>
    <phoneticPr fontId="1" type="noConversion"/>
  </si>
  <si>
    <t>/1000</t>
    <phoneticPr fontId="1" type="noConversion"/>
  </si>
  <si>
    <t>安定餘裕荷重(Wo)=Wo'－(Wa－Wh)/1000</t>
    <phoneticPr fontId="1" type="noConversion"/>
  </si>
  <si>
    <t>SF</t>
    <phoneticPr fontId="1" type="noConversion"/>
  </si>
  <si>
    <t>前方安定度</t>
    <phoneticPr fontId="11" type="noConversion"/>
  </si>
  <si>
    <t>Wp</t>
    <phoneticPr fontId="1" type="noConversion"/>
  </si>
  <si>
    <t>Wp：伸臂重量中之前端等價質量 (公噸) 。</t>
    <phoneticPr fontId="1" type="noConversion"/>
  </si>
  <si>
    <t>伸臂重量中之前端等價質量</t>
    <phoneticPr fontId="1" type="noConversion"/>
  </si>
  <si>
    <t>(公噸)</t>
    <phoneticPr fontId="11" type="noConversion"/>
  </si>
  <si>
    <t>(公噸)</t>
    <phoneticPr fontId="11" type="noConversion"/>
  </si>
  <si>
    <t>前端等價質量(伸臂)</t>
    <phoneticPr fontId="1" type="noConversion"/>
  </si>
  <si>
    <t>前端等價質量(油壓缸)</t>
    <phoneticPr fontId="1" type="noConversion"/>
  </si>
  <si>
    <t>Wp'</t>
    <phoneticPr fontId="1" type="noConversion"/>
  </si>
  <si>
    <t>Wp''</t>
    <phoneticPr fontId="1" type="noConversion"/>
  </si>
  <si>
    <t>伸臂重量中之前端等價質量(Wp)=(Wp'+WP'')/1000</t>
    <phoneticPr fontId="1" type="noConversion"/>
  </si>
  <si>
    <t>=</t>
    <phoneticPr fontId="1" type="noConversion"/>
  </si>
  <si>
    <t>+</t>
    <phoneticPr fontId="1" type="noConversion"/>
  </si>
  <si>
    <t>伸臂水平時
重心位置
(參照附件1)</t>
    <phoneticPr fontId="1" type="noConversion"/>
  </si>
  <si>
    <t>伸臂重心位置</t>
    <phoneticPr fontId="1" type="noConversion"/>
  </si>
  <si>
    <t>(d×cosθ)</t>
    <phoneticPr fontId="1" type="noConversion"/>
  </si>
  <si>
    <t>(L1')</t>
    <phoneticPr fontId="1" type="noConversion"/>
  </si>
  <si>
    <r>
      <t>(Ws+Wf)×B1/2+Wr×( d1× cosθ</t>
    </r>
    <r>
      <rPr>
        <vertAlign val="subscript"/>
        <sz val="12"/>
        <color theme="1"/>
        <rFont val="微軟正黑體"/>
        <family val="2"/>
        <charset val="136"/>
      </rPr>
      <t>m</t>
    </r>
    <r>
      <rPr>
        <sz val="12"/>
        <color theme="1"/>
        <rFont val="微軟正黑體"/>
        <family val="2"/>
        <charset val="136"/>
      </rPr>
      <t>+B1/2)+Wh×( L1'× cosθ</t>
    </r>
    <r>
      <rPr>
        <vertAlign val="subscript"/>
        <sz val="12"/>
        <color theme="1"/>
        <rFont val="微軟正黑體"/>
        <family val="2"/>
        <charset val="136"/>
      </rPr>
      <t>m</t>
    </r>
    <r>
      <rPr>
        <sz val="12"/>
        <color theme="1"/>
        <rFont val="微軟正黑體"/>
        <family val="2"/>
        <charset val="136"/>
      </rPr>
      <t>+B1/2)</t>
    </r>
    <phoneticPr fontId="1" type="noConversion"/>
  </si>
  <si>
    <r>
      <t>(Ws×H/3)+(Wf×S)+Wr×(d1× cosθ</t>
    </r>
    <r>
      <rPr>
        <vertAlign val="subscript"/>
        <sz val="12"/>
        <color theme="1"/>
        <rFont val="微軟正黑體"/>
        <family val="2"/>
        <charset val="136"/>
      </rPr>
      <t>m</t>
    </r>
    <r>
      <rPr>
        <sz val="12"/>
        <color theme="1"/>
        <rFont val="微軟正黑體"/>
        <family val="2"/>
        <charset val="136"/>
      </rPr>
      <t>+S)+Wh×( L1'× cosθ</t>
    </r>
    <r>
      <rPr>
        <vertAlign val="subscript"/>
        <sz val="12"/>
        <color theme="1"/>
        <rFont val="微軟正黑體"/>
        <family val="2"/>
        <charset val="136"/>
      </rPr>
      <t>m</t>
    </r>
    <r>
      <rPr>
        <sz val="12"/>
        <color theme="1"/>
        <rFont val="微軟正黑體"/>
        <family val="2"/>
        <charset val="136"/>
      </rPr>
      <t>+S)</t>
    </r>
    <phoneticPr fontId="1" type="noConversion"/>
  </si>
  <si>
    <t>1.</t>
    <phoneticPr fontId="1" type="noConversion"/>
  </si>
  <si>
    <t>重心至地面垂直距離</t>
    <phoneticPr fontId="1" type="noConversion"/>
  </si>
  <si>
    <t>(h1)</t>
    <phoneticPr fontId="1" type="noConversion"/>
  </si>
  <si>
    <t>重量</t>
    <phoneticPr fontId="1" type="noConversion"/>
  </si>
  <si>
    <t>(h4)</t>
    <phoneticPr fontId="1" type="noConversion"/>
  </si>
  <si>
    <t>(h3)</t>
    <phoneticPr fontId="1" type="noConversion"/>
  </si>
  <si>
    <t>(h2)</t>
    <phoneticPr fontId="1" type="noConversion"/>
  </si>
  <si>
    <t>車台(不含起重機)</t>
    <phoneticPr fontId="1" type="noConversion"/>
  </si>
  <si>
    <t>伸臂</t>
    <phoneticPr fontId="1" type="noConversion"/>
  </si>
  <si>
    <t>吊具組</t>
    <phoneticPr fontId="1" type="noConversion"/>
  </si>
  <si>
    <t>(Wh)</t>
    <phoneticPr fontId="1" type="noConversion"/>
  </si>
  <si>
    <t>(Wf)</t>
    <phoneticPr fontId="1" type="noConversion"/>
  </si>
  <si>
    <t>(Ws)</t>
    <phoneticPr fontId="1" type="noConversion"/>
  </si>
  <si>
    <t>L'：伸臂中心線至翻倒支點水平距離 (cm)</t>
    <phoneticPr fontId="1" type="noConversion"/>
  </si>
  <si>
    <t>h'：起重機重心至地面垂直距離 (cm)</t>
    <phoneticPr fontId="1" type="noConversion"/>
  </si>
  <si>
    <t xml:space="preserve">起重機重心至地面垂直距離 </t>
    <phoneticPr fontId="1" type="noConversion"/>
  </si>
  <si>
    <t>(h')</t>
    <phoneticPr fontId="1" type="noConversion"/>
  </si>
  <si>
    <t>∴  L2  × Wb / H  ≧ 0.15 × Wb × B / H</t>
    <phoneticPr fontId="1" type="noConversion"/>
  </si>
  <si>
    <t>Ws × h1 + Wf × h2 + Wh × h3 + Wr × h4</t>
    <phoneticPr fontId="1" type="noConversion"/>
  </si>
  <si>
    <t>Ws + Wf + Wh + Wr</t>
    <phoneticPr fontId="1" type="noConversion"/>
  </si>
  <si>
    <t>(cm)--詳附件1</t>
    <phoneticPr fontId="1" type="noConversion"/>
  </si>
  <si>
    <t>(cm)--詳附件3</t>
    <phoneticPr fontId="1" type="noConversion"/>
  </si>
  <si>
    <t>(Ws+Wf)×Lw/2－Wh(r－Lw/2)－Wr(d×cosθ)</t>
    <phoneticPr fontId="1" type="noConversion"/>
  </si>
  <si>
    <t>翻倒之負荷荷重(Wo') =</t>
    <phoneticPr fontId="1" type="noConversion"/>
  </si>
  <si>
    <t>前方安定度(SF)=(Wp＋Wa＋Wo)/(Wp+Wa)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</si>
</sst>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76" formatCode="0.0"/>
    <numFmt numFmtId="177" formatCode="&quot;(n&quot;General&quot;)&quot;"/>
    <numFmt numFmtId="178" formatCode="&quot;共&quot;General&quot;支&quot;"/>
    <numFmt numFmtId="179" formatCode="General&quot; kg&quot;"/>
    <numFmt numFmtId="180" formatCode="&quot;(&quot;General&quot;節時)&quot;"/>
    <numFmt numFmtId="181" formatCode="0.000"/>
    <numFmt numFmtId="182" formatCode="0.0&quot;(KG)&quot;"/>
    <numFmt numFmtId="183" formatCode="0.0&quot;(cm)&quot;"/>
    <numFmt numFmtId="184" formatCode="0.0_ "/>
    <numFmt numFmtId="185" formatCode="0.000_ "/>
    <numFmt numFmtId="186" formatCode="0.0000"/>
  </numFmts>
  <fonts count="1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新細明體"/>
      <family val="1"/>
      <charset val="136"/>
    </font>
    <font>
      <sz val="12"/>
      <color theme="1"/>
      <name val="微軟正黑體"/>
      <family val="1"/>
      <charset val="136"/>
    </font>
    <font>
      <vertAlign val="superscript"/>
      <sz val="12"/>
      <color theme="1"/>
      <name val="微軟正黑體"/>
      <family val="2"/>
      <charset val="136"/>
    </font>
    <font>
      <vertAlign val="subscript"/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0"/>
      <color theme="1"/>
      <name val="微軟正黑體"/>
      <family val="2"/>
      <charset val="136"/>
    </font>
    <font>
      <sz val="12"/>
      <name val="微軟正黑體"/>
      <family val="2"/>
      <charset val="136"/>
    </font>
    <font>
      <b/>
      <sz val="9"/>
      <color indexed="81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thin">
        <color indexed="64"/>
      </diagonal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 diagonalDown="1">
      <left style="thin">
        <color indexed="64"/>
      </left>
      <right style="thin">
        <color indexed="64"/>
      </right>
      <top style="double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double">
        <color indexed="64"/>
      </bottom>
      <diagonal style="thin">
        <color indexed="64"/>
      </diagonal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0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1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9" fontId="4" fillId="0" borderId="9" xfId="0" applyNumberFormat="1" applyFont="1" applyBorder="1" applyAlignment="1">
      <alignment horizontal="center" vertical="center"/>
    </xf>
    <xf numFmtId="178" fontId="4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/>
    </xf>
    <xf numFmtId="0" fontId="4" fillId="0" borderId="16" xfId="0" applyNumberFormat="1" applyFont="1" applyBorder="1" applyAlignment="1">
      <alignment horizontal="center" vertical="center"/>
    </xf>
    <xf numFmtId="178" fontId="4" fillId="0" borderId="1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0" fontId="2" fillId="0" borderId="8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6" fillId="0" borderId="0" xfId="0" applyFont="1">
      <alignment vertical="center"/>
    </xf>
    <xf numFmtId="0" fontId="2" fillId="0" borderId="0" xfId="0" quotePrefix="1" applyFont="1" applyAlignment="1">
      <alignment horizontal="right" vertical="center"/>
    </xf>
    <xf numFmtId="0" fontId="2" fillId="0" borderId="0" xfId="0" quotePrefix="1" applyFont="1" applyAlignment="1">
      <alignment horizontal="right"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2" fontId="4" fillId="0" borderId="0" xfId="0" applyNumberFormat="1" applyFont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80" fontId="2" fillId="0" borderId="18" xfId="0" applyNumberFormat="1" applyFont="1" applyBorder="1" applyAlignment="1">
      <alignment horizontal="center" vertical="center"/>
    </xf>
    <xf numFmtId="0" fontId="4" fillId="0" borderId="18" xfId="0" applyNumberFormat="1" applyFont="1" applyBorder="1" applyAlignment="1">
      <alignment horizontal="center" vertical="center"/>
    </xf>
    <xf numFmtId="0" fontId="4" fillId="0" borderId="19" xfId="0" applyNumberFormat="1" applyFont="1" applyBorder="1" applyAlignment="1">
      <alignment horizontal="center" vertical="center"/>
    </xf>
    <xf numFmtId="180" fontId="2" fillId="0" borderId="33" xfId="0" applyNumberFormat="1" applyFont="1" applyBorder="1" applyAlignment="1">
      <alignment horizontal="center" vertical="center"/>
    </xf>
    <xf numFmtId="12" fontId="4" fillId="0" borderId="33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80" fontId="2" fillId="0" borderId="35" xfId="0" applyNumberFormat="1" applyFont="1" applyBorder="1" applyAlignment="1">
      <alignment horizontal="center" vertical="center"/>
    </xf>
    <xf numFmtId="12" fontId="4" fillId="0" borderId="35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80" fontId="2" fillId="0" borderId="38" xfId="0" applyNumberFormat="1" applyFont="1" applyBorder="1" applyAlignment="1">
      <alignment horizontal="center" vertical="center"/>
    </xf>
    <xf numFmtId="0" fontId="4" fillId="0" borderId="38" xfId="0" applyNumberFormat="1" applyFont="1" applyBorder="1" applyAlignment="1">
      <alignment horizontal="center" vertical="center"/>
    </xf>
    <xf numFmtId="0" fontId="4" fillId="0" borderId="39" xfId="0" applyNumberFormat="1" applyFont="1" applyBorder="1" applyAlignment="1">
      <alignment horizontal="center" vertical="center"/>
    </xf>
    <xf numFmtId="176" fontId="4" fillId="0" borderId="8" xfId="0" applyNumberFormat="1" applyFont="1" applyBorder="1">
      <alignment vertical="center"/>
    </xf>
    <xf numFmtId="182" fontId="4" fillId="0" borderId="9" xfId="0" applyNumberFormat="1" applyFont="1" applyBorder="1" applyAlignment="1">
      <alignment horizontal="center" vertical="center"/>
    </xf>
    <xf numFmtId="0" fontId="4" fillId="0" borderId="1" xfId="0" applyNumberFormat="1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4" fillId="0" borderId="18" xfId="0" applyNumberFormat="1" applyFont="1" applyBorder="1">
      <alignment vertical="center"/>
    </xf>
    <xf numFmtId="0" fontId="4" fillId="0" borderId="33" xfId="0" applyNumberFormat="1" applyFont="1" applyBorder="1">
      <alignment vertical="center"/>
    </xf>
    <xf numFmtId="0" fontId="4" fillId="0" borderId="35" xfId="0" applyFont="1" applyBorder="1">
      <alignment vertical="center"/>
    </xf>
    <xf numFmtId="176" fontId="4" fillId="0" borderId="38" xfId="0" applyNumberFormat="1" applyFont="1" applyBorder="1">
      <alignment vertical="center"/>
    </xf>
    <xf numFmtId="0" fontId="4" fillId="0" borderId="35" xfId="0" applyNumberFormat="1" applyFont="1" applyBorder="1">
      <alignment vertical="center"/>
    </xf>
    <xf numFmtId="182" fontId="4" fillId="0" borderId="13" xfId="0" applyNumberFormat="1" applyFont="1" applyBorder="1" applyAlignment="1">
      <alignment horizontal="center" vertical="center"/>
    </xf>
    <xf numFmtId="182" fontId="4" fillId="0" borderId="47" xfId="0" applyNumberFormat="1" applyFont="1" applyBorder="1" applyAlignment="1">
      <alignment horizontal="center" vertical="center"/>
    </xf>
    <xf numFmtId="0" fontId="6" fillId="0" borderId="50" xfId="0" applyFont="1" applyBorder="1">
      <alignment vertical="center"/>
    </xf>
    <xf numFmtId="0" fontId="2" fillId="0" borderId="50" xfId="0" applyFont="1" applyBorder="1">
      <alignment vertical="center"/>
    </xf>
    <xf numFmtId="0" fontId="4" fillId="0" borderId="33" xfId="0" applyFont="1" applyBorder="1">
      <alignment vertical="center"/>
    </xf>
    <xf numFmtId="177" fontId="2" fillId="0" borderId="18" xfId="0" applyNumberFormat="1" applyFont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3" fillId="0" borderId="0" xfId="0" applyFont="1" applyAlignme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wrapText="1"/>
    </xf>
    <xf numFmtId="0" fontId="13" fillId="0" borderId="4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176" fontId="4" fillId="0" borderId="0" xfId="0" applyNumberFormat="1" applyFont="1" applyBorder="1" applyAlignment="1">
      <alignment horizontal="center"/>
    </xf>
    <xf numFmtId="184" fontId="4" fillId="0" borderId="0" xfId="0" applyNumberFormat="1" applyFont="1" applyBorder="1" applyAlignment="1">
      <alignment horizontal="center"/>
    </xf>
    <xf numFmtId="185" fontId="4" fillId="0" borderId="0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186" fontId="4" fillId="0" borderId="0" xfId="0" applyNumberFormat="1" applyFont="1" applyBorder="1" applyAlignment="1">
      <alignment horizontal="center"/>
    </xf>
    <xf numFmtId="0" fontId="13" fillId="0" borderId="58" xfId="0" applyFont="1" applyBorder="1" applyAlignment="1">
      <alignment horizontal="center" vertical="center" wrapText="1"/>
    </xf>
    <xf numFmtId="0" fontId="13" fillId="0" borderId="59" xfId="0" applyFont="1" applyBorder="1" applyAlignment="1">
      <alignment horizontal="center" vertical="center" wrapText="1"/>
    </xf>
    <xf numFmtId="0" fontId="13" fillId="0" borderId="59" xfId="0" applyFont="1" applyBorder="1" applyAlignment="1">
      <alignment horizontal="center" wrapText="1"/>
    </xf>
    <xf numFmtId="0" fontId="13" fillId="0" borderId="48" xfId="0" applyFont="1" applyBorder="1" applyAlignment="1">
      <alignment horizontal="center" vertical="center" wrapText="1"/>
    </xf>
    <xf numFmtId="0" fontId="13" fillId="0" borderId="60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/>
    </xf>
    <xf numFmtId="0" fontId="13" fillId="0" borderId="12" xfId="0" applyFont="1" applyBorder="1" applyAlignment="1">
      <alignment horizontal="center" vertical="center"/>
    </xf>
    <xf numFmtId="0" fontId="5" fillId="2" borderId="0" xfId="0" applyFont="1" applyFill="1" applyAlignment="1" applyProtection="1">
      <alignment horizontal="center"/>
      <protection locked="0"/>
    </xf>
    <xf numFmtId="0" fontId="5" fillId="2" borderId="0" xfId="0" applyFont="1" applyFill="1" applyBorder="1" applyAlignment="1" applyProtection="1">
      <alignment horizontal="center"/>
      <protection locked="0"/>
    </xf>
    <xf numFmtId="1" fontId="5" fillId="2" borderId="0" xfId="0" applyNumberFormat="1" applyFont="1" applyFill="1" applyBorder="1" applyAlignment="1" applyProtection="1">
      <alignment horizontal="center"/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center"/>
      <protection locked="0"/>
    </xf>
    <xf numFmtId="2" fontId="13" fillId="0" borderId="0" xfId="0" applyNumberFormat="1" applyFont="1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3" borderId="0" xfId="0" applyFont="1" applyFill="1" applyAlignment="1" applyProtection="1">
      <alignment horizontal="center" vertical="center"/>
    </xf>
    <xf numFmtId="0" fontId="2" fillId="0" borderId="0" xfId="0" quotePrefix="1" applyFont="1" applyAlignment="1">
      <alignment horizontal="right"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right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shrinkToFit="1"/>
    </xf>
    <xf numFmtId="0" fontId="2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181" fontId="4" fillId="0" borderId="1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 shrinkToFit="1"/>
    </xf>
    <xf numFmtId="0" fontId="8" fillId="0" borderId="10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8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shrinkToFit="1"/>
    </xf>
    <xf numFmtId="0" fontId="2" fillId="0" borderId="38" xfId="0" applyFont="1" applyBorder="1" applyAlignment="1">
      <alignment horizontal="center" vertical="center" shrinkToFit="1"/>
    </xf>
    <xf numFmtId="183" fontId="4" fillId="0" borderId="13" xfId="0" applyNumberFormat="1" applyFont="1" applyBorder="1" applyAlignment="1">
      <alignment horizontal="center" vertical="center"/>
    </xf>
    <xf numFmtId="183" fontId="4" fillId="0" borderId="15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2" borderId="25" xfId="0" applyFont="1" applyFill="1" applyBorder="1" applyAlignment="1" applyProtection="1">
      <alignment horizontal="center" vertical="center"/>
      <protection locked="0"/>
    </xf>
    <xf numFmtId="183" fontId="4" fillId="0" borderId="14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 shrinkToFit="1"/>
    </xf>
    <xf numFmtId="0" fontId="2" fillId="0" borderId="56" xfId="0" applyFont="1" applyBorder="1" applyAlignment="1">
      <alignment horizontal="center" vertical="center" shrinkToFit="1"/>
    </xf>
    <xf numFmtId="0" fontId="2" fillId="0" borderId="57" xfId="0" applyFont="1" applyBorder="1" applyAlignment="1">
      <alignment horizontal="center" vertical="center" shrinkToFit="1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176" fontId="5" fillId="2" borderId="0" xfId="0" applyNumberFormat="1" applyFont="1" applyFill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shrinkToFit="1"/>
    </xf>
    <xf numFmtId="181" fontId="4" fillId="0" borderId="10" xfId="0" applyNumberFormat="1" applyFont="1" applyBorder="1" applyAlignment="1">
      <alignment horizontal="center" vertical="center" shrinkToFit="1"/>
    </xf>
  </cellXfs>
  <cellStyles count="1">
    <cellStyle name="一般" xfId="0" builtinId="0"/>
  </cellStyles>
  <dxfs count="3"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198783</xdr:colOff>
      <xdr:row>78</xdr:row>
      <xdr:rowOff>80839</xdr:rowOff>
    </xdr:from>
    <xdr:to>
      <xdr:col>20</xdr:col>
      <xdr:colOff>196745</xdr:colOff>
      <xdr:row>86</xdr:row>
      <xdr:rowOff>173936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5326" y="15387100"/>
          <a:ext cx="2491028" cy="1683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38100</xdr:colOff>
      <xdr:row>91</xdr:row>
      <xdr:rowOff>73674</xdr:rowOff>
    </xdr:from>
    <xdr:to>
      <xdr:col>20</xdr:col>
      <xdr:colOff>190499</xdr:colOff>
      <xdr:row>101</xdr:row>
      <xdr:rowOff>171450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8028299"/>
          <a:ext cx="2266949" cy="1917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19050</xdr:colOff>
      <xdr:row>41</xdr:row>
      <xdr:rowOff>78665</xdr:rowOff>
    </xdr:from>
    <xdr:to>
      <xdr:col>19</xdr:col>
      <xdr:colOff>250013</xdr:colOff>
      <xdr:row>49</xdr:row>
      <xdr:rowOff>171450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8136815"/>
          <a:ext cx="1993088" cy="1692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141557</xdr:colOff>
      <xdr:row>57</xdr:row>
      <xdr:rowOff>41413</xdr:rowOff>
    </xdr:from>
    <xdr:to>
      <xdr:col>20</xdr:col>
      <xdr:colOff>225549</xdr:colOff>
      <xdr:row>65</xdr:row>
      <xdr:rowOff>104625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1948" y="11256065"/>
          <a:ext cx="2933210" cy="1653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95859</xdr:colOff>
      <xdr:row>22</xdr:row>
      <xdr:rowOff>19256</xdr:rowOff>
    </xdr:from>
    <xdr:to>
      <xdr:col>16</xdr:col>
      <xdr:colOff>261808</xdr:colOff>
      <xdr:row>33</xdr:row>
      <xdr:rowOff>21623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041" y="5006892"/>
          <a:ext cx="3629585" cy="3175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Z103"/>
  <sheetViews>
    <sheetView tabSelected="1" topLeftCell="B49" zoomScale="115" zoomScaleNormal="115" workbookViewId="0">
      <selection activeCell="AE72" sqref="AE72"/>
    </sheetView>
  </sheetViews>
  <sheetFormatPr defaultColWidth="4.625" defaultRowHeight="15.75" x14ac:dyDescent="0.25"/>
  <cols>
    <col min="1" max="6" width="4.625" style="1"/>
    <col min="7" max="7" width="4.625" style="1" customWidth="1"/>
    <col min="8" max="8" width="4.875" style="1" customWidth="1"/>
    <col min="9" max="11" width="4.625" style="1"/>
    <col min="12" max="12" width="4.625" style="1" customWidth="1"/>
    <col min="13" max="24" width="4.625" style="1"/>
    <col min="25" max="25" width="14.625" style="1" customWidth="1"/>
    <col min="26" max="16384" width="4.625" style="1"/>
  </cols>
  <sheetData>
    <row r="1" spans="1:16" ht="18.75" x14ac:dyDescent="0.25">
      <c r="A1" s="3" t="s">
        <v>1</v>
      </c>
    </row>
    <row r="3" spans="1:16" ht="16.5" x14ac:dyDescent="0.25">
      <c r="A3" s="40" t="s">
        <v>6</v>
      </c>
    </row>
    <row r="5" spans="1:16" x14ac:dyDescent="0.25">
      <c r="B5" s="41" t="s">
        <v>7</v>
      </c>
      <c r="C5" s="111" t="s">
        <v>167</v>
      </c>
      <c r="D5" s="111"/>
      <c r="E5" s="111"/>
      <c r="F5" s="111"/>
      <c r="G5" s="111"/>
      <c r="H5" s="111"/>
      <c r="I5" s="112" t="s">
        <v>29</v>
      </c>
      <c r="J5" s="112"/>
      <c r="K5" s="5" t="s">
        <v>17</v>
      </c>
      <c r="L5" s="113">
        <v>8420</v>
      </c>
      <c r="M5" s="113"/>
      <c r="N5" s="1" t="s">
        <v>18</v>
      </c>
    </row>
    <row r="6" spans="1:16" s="14" customFormat="1" x14ac:dyDescent="0.25">
      <c r="B6" s="41" t="s">
        <v>8</v>
      </c>
      <c r="C6" s="111" t="s">
        <v>47</v>
      </c>
      <c r="D6" s="111"/>
      <c r="E6" s="111"/>
      <c r="F6" s="111"/>
      <c r="G6" s="111"/>
      <c r="H6" s="111"/>
      <c r="I6" s="112" t="s">
        <v>51</v>
      </c>
      <c r="J6" s="112"/>
      <c r="K6" s="6" t="s">
        <v>17</v>
      </c>
      <c r="L6" s="113">
        <v>1187</v>
      </c>
      <c r="M6" s="113"/>
      <c r="N6" s="4" t="s">
        <v>18</v>
      </c>
    </row>
    <row r="7" spans="1:16" s="14" customFormat="1" x14ac:dyDescent="0.25">
      <c r="B7" s="41" t="s">
        <v>9</v>
      </c>
      <c r="C7" s="111" t="s">
        <v>50</v>
      </c>
      <c r="D7" s="111"/>
      <c r="E7" s="111"/>
      <c r="F7" s="111"/>
      <c r="G7" s="111"/>
      <c r="H7" s="111"/>
      <c r="I7" s="112" t="s">
        <v>113</v>
      </c>
      <c r="J7" s="112"/>
      <c r="K7" s="6" t="s">
        <v>17</v>
      </c>
      <c r="L7" s="114">
        <f>SUM('附件1 伸臂重心計算'!E5:K5,'附件1 伸臂重心計算'!E7:J8)</f>
        <v>999</v>
      </c>
      <c r="M7" s="114"/>
      <c r="N7" s="4" t="s">
        <v>18</v>
      </c>
    </row>
    <row r="8" spans="1:16" s="14" customFormat="1" x14ac:dyDescent="0.25">
      <c r="B8" s="41" t="s">
        <v>10</v>
      </c>
      <c r="C8" s="111" t="s">
        <v>166</v>
      </c>
      <c r="D8" s="111"/>
      <c r="E8" s="111"/>
      <c r="F8" s="111"/>
      <c r="G8" s="111"/>
      <c r="H8" s="111"/>
      <c r="I8" s="112" t="s">
        <v>49</v>
      </c>
      <c r="J8" s="112"/>
      <c r="K8" s="6" t="s">
        <v>17</v>
      </c>
      <c r="L8" s="115">
        <f>L5-L6-L7-L9</f>
        <v>6204</v>
      </c>
      <c r="M8" s="115"/>
      <c r="N8" s="4" t="s">
        <v>18</v>
      </c>
    </row>
    <row r="9" spans="1:16" s="14" customFormat="1" x14ac:dyDescent="0.25">
      <c r="B9" s="41" t="s">
        <v>11</v>
      </c>
      <c r="C9" s="111" t="s">
        <v>48</v>
      </c>
      <c r="D9" s="111"/>
      <c r="E9" s="111"/>
      <c r="F9" s="111"/>
      <c r="G9" s="111"/>
      <c r="H9" s="111"/>
      <c r="I9" s="112" t="s">
        <v>52</v>
      </c>
      <c r="J9" s="112"/>
      <c r="K9" s="6" t="s">
        <v>17</v>
      </c>
      <c r="L9" s="113">
        <v>30</v>
      </c>
      <c r="M9" s="113"/>
      <c r="N9" s="4" t="s">
        <v>18</v>
      </c>
    </row>
    <row r="10" spans="1:16" x14ac:dyDescent="0.25">
      <c r="B10" s="41" t="s">
        <v>12</v>
      </c>
      <c r="C10" s="111" t="s">
        <v>23</v>
      </c>
      <c r="D10" s="111"/>
      <c r="E10" s="111"/>
      <c r="F10" s="111"/>
      <c r="G10" s="111"/>
      <c r="H10" s="111"/>
      <c r="I10" s="112" t="s">
        <v>19</v>
      </c>
      <c r="J10" s="112"/>
      <c r="K10" s="5" t="s">
        <v>17</v>
      </c>
      <c r="L10" s="113">
        <v>178.5</v>
      </c>
      <c r="M10" s="113"/>
      <c r="N10" s="14" t="s">
        <v>80</v>
      </c>
    </row>
    <row r="11" spans="1:16" x14ac:dyDescent="0.25">
      <c r="B11" s="41" t="s">
        <v>13</v>
      </c>
      <c r="C11" s="111" t="s">
        <v>24</v>
      </c>
      <c r="D11" s="111"/>
      <c r="E11" s="111"/>
      <c r="F11" s="111"/>
      <c r="G11" s="111"/>
      <c r="H11" s="111"/>
      <c r="I11" s="112" t="s">
        <v>20</v>
      </c>
      <c r="J11" s="112"/>
      <c r="K11" s="5" t="s">
        <v>17</v>
      </c>
      <c r="L11" s="113">
        <v>166.5</v>
      </c>
      <c r="M11" s="113"/>
      <c r="N11" s="14" t="s">
        <v>80</v>
      </c>
    </row>
    <row r="12" spans="1:16" x14ac:dyDescent="0.25">
      <c r="B12" s="41" t="s">
        <v>14</v>
      </c>
      <c r="C12" s="111" t="s">
        <v>82</v>
      </c>
      <c r="D12" s="111"/>
      <c r="E12" s="111"/>
      <c r="F12" s="111"/>
      <c r="G12" s="111"/>
      <c r="H12" s="111"/>
      <c r="I12" s="112" t="s">
        <v>83</v>
      </c>
      <c r="J12" s="112"/>
      <c r="K12" s="16" t="s">
        <v>17</v>
      </c>
      <c r="L12" s="113">
        <v>487</v>
      </c>
      <c r="M12" s="113"/>
      <c r="N12" s="14" t="s">
        <v>80</v>
      </c>
    </row>
    <row r="13" spans="1:16" s="14" customFormat="1" x14ac:dyDescent="0.25">
      <c r="B13" s="41" t="s">
        <v>77</v>
      </c>
      <c r="C13" s="111" t="s">
        <v>104</v>
      </c>
      <c r="D13" s="111"/>
      <c r="E13" s="111"/>
      <c r="F13" s="111"/>
      <c r="G13" s="111"/>
      <c r="H13" s="111"/>
      <c r="I13" s="112" t="s">
        <v>102</v>
      </c>
      <c r="J13" s="112"/>
      <c r="K13" s="16" t="s">
        <v>17</v>
      </c>
      <c r="L13" s="113">
        <v>340</v>
      </c>
      <c r="M13" s="113"/>
      <c r="N13" s="14" t="s">
        <v>80</v>
      </c>
    </row>
    <row r="14" spans="1:16" s="24" customFormat="1" x14ac:dyDescent="0.25">
      <c r="B14" s="42" t="s">
        <v>15</v>
      </c>
      <c r="C14" s="111" t="s">
        <v>161</v>
      </c>
      <c r="D14" s="111"/>
      <c r="E14" s="111"/>
      <c r="F14" s="111"/>
      <c r="G14" s="111"/>
      <c r="H14" s="111"/>
      <c r="I14" s="112" t="s">
        <v>158</v>
      </c>
      <c r="J14" s="112"/>
      <c r="K14" s="23" t="s">
        <v>17</v>
      </c>
      <c r="L14" s="113">
        <v>480</v>
      </c>
      <c r="M14" s="113"/>
      <c r="N14" s="24" t="s">
        <v>80</v>
      </c>
    </row>
    <row r="15" spans="1:16" ht="20.25" x14ac:dyDescent="0.25">
      <c r="B15" s="42" t="s">
        <v>16</v>
      </c>
      <c r="C15" s="111" t="s">
        <v>53</v>
      </c>
      <c r="D15" s="111"/>
      <c r="E15" s="111"/>
      <c r="F15" s="111"/>
      <c r="G15" s="111"/>
      <c r="H15" s="111"/>
      <c r="I15" s="112" t="s">
        <v>97</v>
      </c>
      <c r="J15" s="112"/>
      <c r="K15" s="6" t="s">
        <v>17</v>
      </c>
      <c r="L15" s="113">
        <v>78</v>
      </c>
      <c r="M15" s="113"/>
      <c r="N15" s="4" t="s">
        <v>54</v>
      </c>
      <c r="O15" s="4"/>
    </row>
    <row r="16" spans="1:16" x14ac:dyDescent="0.25">
      <c r="B16" s="42" t="s">
        <v>84</v>
      </c>
      <c r="C16" s="111" t="s">
        <v>55</v>
      </c>
      <c r="D16" s="111"/>
      <c r="E16" s="111"/>
      <c r="F16" s="111"/>
      <c r="G16" s="111"/>
      <c r="H16" s="111"/>
      <c r="I16" s="112" t="s">
        <v>56</v>
      </c>
      <c r="J16" s="112"/>
      <c r="K16" s="6" t="s">
        <v>17</v>
      </c>
      <c r="L16" s="113">
        <v>70</v>
      </c>
      <c r="M16" s="113"/>
      <c r="N16" s="14" t="s">
        <v>80</v>
      </c>
      <c r="O16" s="4"/>
      <c r="P16" s="4"/>
    </row>
    <row r="17" spans="2:26" s="4" customFormat="1" x14ac:dyDescent="0.25">
      <c r="B17" s="42" t="s">
        <v>85</v>
      </c>
      <c r="C17" s="14" t="s">
        <v>95</v>
      </c>
      <c r="D17" s="14"/>
      <c r="E17" s="14"/>
      <c r="F17" s="14"/>
      <c r="G17" s="14"/>
      <c r="H17" s="14"/>
      <c r="I17" s="112" t="s">
        <v>197</v>
      </c>
      <c r="J17" s="112"/>
      <c r="K17" s="16" t="s">
        <v>17</v>
      </c>
      <c r="L17" s="115">
        <f>'附件1 伸臂重心計算'!E3</f>
        <v>393</v>
      </c>
      <c r="M17" s="115"/>
      <c r="N17" s="14" t="s">
        <v>96</v>
      </c>
      <c r="O17" s="14"/>
    </row>
    <row r="18" spans="2:26" s="4" customFormat="1" x14ac:dyDescent="0.25">
      <c r="B18" s="42" t="s">
        <v>86</v>
      </c>
      <c r="C18" s="111" t="s">
        <v>78</v>
      </c>
      <c r="D18" s="111"/>
      <c r="E18" s="111"/>
      <c r="F18" s="111"/>
      <c r="G18" s="111"/>
      <c r="H18" s="111"/>
      <c r="I18" s="112" t="s">
        <v>79</v>
      </c>
      <c r="J18" s="112"/>
      <c r="K18" s="16" t="s">
        <v>17</v>
      </c>
      <c r="L18" s="121">
        <f>'附件1 伸臂重心計算'!L11</f>
        <v>248.45845845845847</v>
      </c>
      <c r="M18" s="121"/>
      <c r="N18" s="14" t="s">
        <v>220</v>
      </c>
    </row>
    <row r="19" spans="2:26" x14ac:dyDescent="0.25">
      <c r="B19" s="42" t="s">
        <v>159</v>
      </c>
      <c r="C19" s="111" t="s">
        <v>37</v>
      </c>
      <c r="D19" s="111"/>
      <c r="E19" s="111"/>
      <c r="F19" s="111"/>
      <c r="G19" s="111"/>
      <c r="H19" s="111"/>
      <c r="I19" s="112" t="s">
        <v>38</v>
      </c>
      <c r="J19" s="112"/>
      <c r="K19" s="5" t="s">
        <v>17</v>
      </c>
      <c r="L19" s="111" t="s">
        <v>39</v>
      </c>
      <c r="M19" s="111"/>
      <c r="N19" s="111"/>
      <c r="O19" s="115">
        <f>(L10+L11)/2</f>
        <v>172.5</v>
      </c>
      <c r="P19" s="115"/>
      <c r="Q19" s="14" t="s">
        <v>80</v>
      </c>
    </row>
    <row r="20" spans="2:26" s="14" customFormat="1" ht="7.5" customHeight="1" x14ac:dyDescent="0.6">
      <c r="B20" s="41"/>
      <c r="I20" s="16"/>
      <c r="J20" s="16"/>
      <c r="K20" s="16"/>
      <c r="O20" s="15"/>
      <c r="P20" s="15"/>
    </row>
    <row r="21" spans="2:26" ht="20.25" x14ac:dyDescent="0.25">
      <c r="B21" s="116" t="s">
        <v>98</v>
      </c>
      <c r="C21" s="119" t="s">
        <v>42</v>
      </c>
      <c r="D21" s="119"/>
      <c r="E21" s="119"/>
      <c r="F21" s="119"/>
      <c r="G21" s="119"/>
      <c r="H21" s="119"/>
      <c r="I21" s="112" t="s">
        <v>44</v>
      </c>
      <c r="J21" s="112"/>
      <c r="K21" s="112" t="s">
        <v>17</v>
      </c>
      <c r="L21" s="118" t="s">
        <v>198</v>
      </c>
      <c r="M21" s="118"/>
      <c r="N21" s="118"/>
      <c r="O21" s="118"/>
      <c r="P21" s="118"/>
      <c r="Q21" s="118"/>
      <c r="R21" s="118"/>
      <c r="S21" s="118"/>
      <c r="T21" s="118"/>
      <c r="U21" s="118"/>
    </row>
    <row r="22" spans="2:26" s="4" customFormat="1" x14ac:dyDescent="0.25">
      <c r="B22" s="116"/>
      <c r="C22" s="119"/>
      <c r="D22" s="119"/>
      <c r="E22" s="119"/>
      <c r="F22" s="119"/>
      <c r="G22" s="119"/>
      <c r="H22" s="119"/>
      <c r="I22" s="112"/>
      <c r="J22" s="112"/>
      <c r="K22" s="112"/>
      <c r="L22" s="117" t="s">
        <v>81</v>
      </c>
      <c r="M22" s="117"/>
      <c r="N22" s="117"/>
      <c r="O22" s="117"/>
      <c r="P22" s="117"/>
      <c r="Q22" s="117"/>
      <c r="R22" s="117"/>
      <c r="S22" s="117"/>
      <c r="T22" s="117"/>
      <c r="U22" s="117"/>
    </row>
    <row r="23" spans="2:26" s="4" customFormat="1" ht="8.25" customHeight="1" x14ac:dyDescent="0.6">
      <c r="B23" s="41"/>
      <c r="I23" s="6"/>
      <c r="J23" s="6"/>
      <c r="K23" s="6"/>
    </row>
    <row r="24" spans="2:26" s="4" customFormat="1" ht="15.4" x14ac:dyDescent="0.6">
      <c r="B24" s="41"/>
      <c r="I24" s="6"/>
      <c r="J24" s="6"/>
      <c r="K24" s="16" t="s">
        <v>17</v>
      </c>
      <c r="L24" s="120">
        <f>((L8+L6)*L10/2+L7*(L18*COS(RADIANS(L15))+L10/2)+L9*(L17*COS(RADIANS(L15))+L10/2))/L5</f>
        <v>95.670075963493744</v>
      </c>
      <c r="M24" s="120"/>
      <c r="N24" s="14" t="s">
        <v>80</v>
      </c>
      <c r="Z24" s="14"/>
    </row>
    <row r="25" spans="2:26" s="4" customFormat="1" ht="15.4" x14ac:dyDescent="0.6">
      <c r="B25" s="41"/>
      <c r="I25" s="6"/>
      <c r="J25" s="6"/>
      <c r="K25" s="6"/>
      <c r="S25" s="1"/>
      <c r="Z25" s="14"/>
    </row>
    <row r="26" spans="2:26" ht="20.25" x14ac:dyDescent="0.25">
      <c r="B26" s="116" t="s">
        <v>109</v>
      </c>
      <c r="C26" s="119" t="s">
        <v>45</v>
      </c>
      <c r="D26" s="119"/>
      <c r="E26" s="119"/>
      <c r="F26" s="119"/>
      <c r="G26" s="119"/>
      <c r="H26" s="119"/>
      <c r="I26" s="112" t="s">
        <v>46</v>
      </c>
      <c r="J26" s="112"/>
      <c r="K26" s="112" t="s">
        <v>17</v>
      </c>
      <c r="L26" s="118" t="s">
        <v>199</v>
      </c>
      <c r="M26" s="118"/>
      <c r="N26" s="118"/>
      <c r="O26" s="118"/>
      <c r="P26" s="118"/>
      <c r="Q26" s="118"/>
      <c r="R26" s="118"/>
      <c r="S26" s="118"/>
      <c r="T26" s="118"/>
      <c r="U26" s="118"/>
    </row>
    <row r="27" spans="2:26" s="14" customFormat="1" x14ac:dyDescent="0.25">
      <c r="B27" s="116"/>
      <c r="C27" s="119"/>
      <c r="D27" s="119"/>
      <c r="E27" s="119"/>
      <c r="F27" s="119"/>
      <c r="G27" s="119"/>
      <c r="H27" s="119"/>
      <c r="I27" s="112"/>
      <c r="J27" s="112"/>
      <c r="K27" s="112"/>
      <c r="L27" s="117" t="s">
        <v>81</v>
      </c>
      <c r="M27" s="117"/>
      <c r="N27" s="117"/>
      <c r="O27" s="117"/>
      <c r="P27" s="117"/>
      <c r="Q27" s="117"/>
      <c r="R27" s="117"/>
      <c r="S27" s="117"/>
      <c r="T27" s="117"/>
      <c r="U27" s="117"/>
    </row>
    <row r="28" spans="2:26" s="14" customFormat="1" ht="8.25" customHeight="1" x14ac:dyDescent="0.6">
      <c r="B28" s="2"/>
      <c r="I28" s="16"/>
      <c r="J28" s="16"/>
      <c r="K28" s="16"/>
    </row>
    <row r="29" spans="2:26" s="14" customFormat="1" ht="15.4" x14ac:dyDescent="0.6">
      <c r="B29" s="2"/>
      <c r="I29" s="16"/>
      <c r="J29" s="16"/>
      <c r="K29" s="16" t="s">
        <v>17</v>
      </c>
      <c r="L29" s="120">
        <f>((L8*L12/3)+L6*L16+L7*(L18*COS(RADIANS(L15))+L16)+L9*(L17*COS(RADIANS(L15))+L16))/L5</f>
        <v>144.45285506088092</v>
      </c>
      <c r="M29" s="120"/>
      <c r="N29" s="14" t="s">
        <v>80</v>
      </c>
    </row>
    <row r="30" spans="2:26" ht="9.75" customHeight="1" x14ac:dyDescent="0.6"/>
    <row r="31" spans="2:26" s="14" customFormat="1" x14ac:dyDescent="0.25">
      <c r="B31" s="42" t="s">
        <v>110</v>
      </c>
      <c r="C31" s="126" t="s">
        <v>99</v>
      </c>
      <c r="D31" s="126"/>
      <c r="E31" s="126"/>
      <c r="F31" s="126"/>
      <c r="G31" s="126"/>
      <c r="H31" s="126"/>
      <c r="I31" s="112" t="s">
        <v>101</v>
      </c>
      <c r="J31" s="112"/>
      <c r="K31" s="16" t="s">
        <v>17</v>
      </c>
      <c r="L31" s="112" t="s">
        <v>103</v>
      </c>
      <c r="M31" s="112"/>
      <c r="N31" s="115">
        <f>O19/2</f>
        <v>86.25</v>
      </c>
      <c r="O31" s="115"/>
      <c r="P31" s="14" t="s">
        <v>80</v>
      </c>
    </row>
    <row r="32" spans="2:26" s="14" customFormat="1" x14ac:dyDescent="0.25">
      <c r="B32" s="42" t="s">
        <v>160</v>
      </c>
      <c r="C32" s="126" t="s">
        <v>100</v>
      </c>
      <c r="D32" s="126"/>
      <c r="E32" s="126"/>
      <c r="F32" s="126"/>
      <c r="G32" s="126"/>
      <c r="H32" s="126"/>
      <c r="I32" s="112" t="s">
        <v>105</v>
      </c>
      <c r="J32" s="112"/>
      <c r="K32" s="16" t="s">
        <v>17</v>
      </c>
      <c r="L32" s="125">
        <f>'附件3 車台重心高度計算'!L20</f>
        <v>125.72858669833728</v>
      </c>
      <c r="M32" s="125"/>
      <c r="N32" s="14" t="s">
        <v>221</v>
      </c>
    </row>
    <row r="33" spans="1:21" s="14" customFormat="1" ht="15.4" x14ac:dyDescent="0.6"/>
    <row r="34" spans="1:21" ht="16.5" x14ac:dyDescent="0.25">
      <c r="A34" s="40" t="s">
        <v>5</v>
      </c>
    </row>
    <row r="36" spans="1:21" x14ac:dyDescent="0.25">
      <c r="B36" s="41" t="s">
        <v>7</v>
      </c>
      <c r="C36" s="14" t="s">
        <v>0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spans="1:21" ht="15.75" customHeight="1" x14ac:dyDescent="0.25">
      <c r="C37" s="123" t="s">
        <v>2</v>
      </c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</row>
    <row r="38" spans="1:21" x14ac:dyDescent="0.25">
      <c r="B38" s="17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</row>
    <row r="40" spans="1:21" x14ac:dyDescent="0.25">
      <c r="C40" s="1" t="s">
        <v>25</v>
      </c>
      <c r="L40" s="1" t="s">
        <v>22</v>
      </c>
    </row>
    <row r="41" spans="1:21" x14ac:dyDescent="0.25">
      <c r="C41" s="1" t="s">
        <v>30</v>
      </c>
      <c r="L41" s="1" t="s">
        <v>43</v>
      </c>
    </row>
    <row r="43" spans="1:21" x14ac:dyDescent="0.25">
      <c r="C43" s="1" t="s">
        <v>32</v>
      </c>
      <c r="G43" s="2"/>
    </row>
    <row r="45" spans="1:21" x14ac:dyDescent="0.25">
      <c r="C45" s="1" t="s">
        <v>31</v>
      </c>
    </row>
    <row r="47" spans="1:21" x14ac:dyDescent="0.25">
      <c r="C47" s="1" t="s">
        <v>33</v>
      </c>
    </row>
    <row r="49" spans="2:25" x14ac:dyDescent="0.25">
      <c r="C49" s="2" t="s">
        <v>21</v>
      </c>
    </row>
    <row r="50" spans="2:25" ht="16.5" x14ac:dyDescent="0.25">
      <c r="Y50" s="44"/>
    </row>
    <row r="51" spans="2:25" s="14" customFormat="1" x14ac:dyDescent="0.25">
      <c r="C51" s="2" t="s">
        <v>87</v>
      </c>
      <c r="D51" s="120">
        <f>L24</f>
        <v>95.670075963493744</v>
      </c>
      <c r="E51" s="115"/>
      <c r="F51" s="16" t="s">
        <v>88</v>
      </c>
      <c r="G51" s="115">
        <f>L10</f>
        <v>178.5</v>
      </c>
      <c r="H51" s="115"/>
      <c r="I51" s="14" t="s">
        <v>17</v>
      </c>
      <c r="J51" s="122">
        <f>D51/G51</f>
        <v>0.53596681212041308</v>
      </c>
      <c r="K51" s="122"/>
      <c r="L51" s="43" t="str">
        <f>IF(J51&gt;=0.15,"≧ 0.15 …OK!","≦ 0.15 …不符規定!")</f>
        <v>≧ 0.15 …OK!</v>
      </c>
    </row>
    <row r="52" spans="2:25" x14ac:dyDescent="0.25">
      <c r="B52" s="41" t="s">
        <v>89</v>
      </c>
      <c r="C52" s="14" t="s">
        <v>3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2:25" ht="15.75" customHeight="1" x14ac:dyDescent="0.25">
      <c r="C53" s="123" t="s">
        <v>4</v>
      </c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</row>
    <row r="54" spans="2:25" x14ac:dyDescent="0.25">
      <c r="B54" s="17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</row>
    <row r="56" spans="2:25" x14ac:dyDescent="0.25">
      <c r="C56" s="1" t="s">
        <v>26</v>
      </c>
      <c r="L56" s="1" t="s">
        <v>27</v>
      </c>
      <c r="R56" s="1" t="s">
        <v>28</v>
      </c>
    </row>
    <row r="57" spans="2:25" x14ac:dyDescent="0.25">
      <c r="C57" s="1" t="s">
        <v>30</v>
      </c>
      <c r="L57" s="1" t="s">
        <v>41</v>
      </c>
    </row>
    <row r="59" spans="2:25" x14ac:dyDescent="0.25">
      <c r="C59" s="1" t="s">
        <v>34</v>
      </c>
    </row>
    <row r="61" spans="2:25" x14ac:dyDescent="0.25">
      <c r="C61" s="1" t="s">
        <v>35</v>
      </c>
    </row>
    <row r="63" spans="2:25" x14ac:dyDescent="0.25">
      <c r="C63" s="1" t="s">
        <v>217</v>
      </c>
    </row>
    <row r="65" spans="1:21" x14ac:dyDescent="0.25">
      <c r="C65" s="2" t="s">
        <v>36</v>
      </c>
    </row>
    <row r="67" spans="1:21" x14ac:dyDescent="0.25">
      <c r="C67" s="2" t="s">
        <v>87</v>
      </c>
      <c r="D67" s="120">
        <f>L29</f>
        <v>144.45285506088092</v>
      </c>
      <c r="E67" s="115"/>
      <c r="F67" s="16" t="s">
        <v>88</v>
      </c>
      <c r="G67" s="115">
        <f>O19</f>
        <v>172.5</v>
      </c>
      <c r="H67" s="115"/>
      <c r="I67" s="14" t="s">
        <v>17</v>
      </c>
      <c r="J67" s="122">
        <f>D67/G67</f>
        <v>0.83740785542539664</v>
      </c>
      <c r="K67" s="122"/>
      <c r="L67" s="43" t="str">
        <f>IF(J67&gt;=0.15,"≧ 0.15 …OK!","≦ 0.15 …不符規定!")</f>
        <v>≧ 0.15 …OK!</v>
      </c>
      <c r="M67" s="14"/>
    </row>
    <row r="68" spans="1:21" s="14" customFormat="1" x14ac:dyDescent="0.25">
      <c r="C68" s="2"/>
      <c r="D68" s="45"/>
      <c r="E68" s="15"/>
      <c r="F68" s="16"/>
      <c r="G68" s="15"/>
      <c r="H68" s="15"/>
      <c r="J68" s="46"/>
      <c r="K68" s="46"/>
      <c r="L68" s="43"/>
    </row>
    <row r="69" spans="1:21" ht="16.5" x14ac:dyDescent="0.25">
      <c r="A69" s="40" t="s">
        <v>40</v>
      </c>
    </row>
    <row r="70" spans="1:21" ht="10.5" customHeight="1" x14ac:dyDescent="0.25"/>
    <row r="71" spans="1:21" x14ac:dyDescent="0.25">
      <c r="B71" s="1" t="s">
        <v>111</v>
      </c>
    </row>
    <row r="72" spans="1:21" s="14" customFormat="1" x14ac:dyDescent="0.25">
      <c r="C72" s="112" t="s">
        <v>112</v>
      </c>
      <c r="D72" s="124" t="s">
        <v>114</v>
      </c>
      <c r="E72" s="124"/>
      <c r="F72" s="124"/>
      <c r="G72" s="124"/>
      <c r="H72" s="119" t="s">
        <v>118</v>
      </c>
      <c r="I72" s="119"/>
      <c r="J72" s="202"/>
      <c r="K72" s="110"/>
      <c r="L72" s="110"/>
      <c r="M72" s="110"/>
      <c r="N72" s="39"/>
      <c r="O72" s="39"/>
      <c r="P72" s="36"/>
      <c r="Q72" s="36"/>
    </row>
    <row r="73" spans="1:21" s="14" customFormat="1" x14ac:dyDescent="0.25">
      <c r="C73" s="112"/>
      <c r="D73" s="117" t="s">
        <v>115</v>
      </c>
      <c r="E73" s="117"/>
      <c r="F73" s="117"/>
      <c r="G73" s="117"/>
      <c r="H73" s="119"/>
      <c r="I73" s="119"/>
      <c r="J73" s="110"/>
      <c r="K73" s="110"/>
      <c r="L73" s="203"/>
      <c r="M73" s="203"/>
      <c r="N73" s="39"/>
      <c r="O73" s="39"/>
      <c r="P73" s="36"/>
      <c r="Q73" s="36"/>
    </row>
    <row r="74" spans="1:21" s="14" customFormat="1" x14ac:dyDescent="0.25">
      <c r="C74" s="14" t="s">
        <v>183</v>
      </c>
    </row>
    <row r="75" spans="1:21" s="14" customFormat="1" x14ac:dyDescent="0.25">
      <c r="C75" s="14" t="s">
        <v>119</v>
      </c>
    </row>
    <row r="76" spans="1:21" s="14" customFormat="1" x14ac:dyDescent="0.25">
      <c r="C76" s="14" t="s">
        <v>120</v>
      </c>
    </row>
    <row r="77" spans="1:21" x14ac:dyDescent="0.25">
      <c r="B77" s="14" t="s">
        <v>116</v>
      </c>
    </row>
    <row r="78" spans="1:21" s="64" customFormat="1" ht="16.5" customHeight="1" x14ac:dyDescent="0.25">
      <c r="C78" s="128" t="str">
        <f ca="1">"(本機具最不利位置為：伸臂長度:"&amp;OFFSET('附件4 前方安定度計算'!$P$9,MATCH(MIN('附件4 前方安定度計算'!$P$10:$P$65),'附件4 前方安定度計算'!$P$10:$P$65,0),-15,1,1)&amp;"cm、作業半徑："&amp;OFFSET('附件4 前方安定度計算'!$P$9,MATCH(MIN('附件4 前方安定度計算'!$P$10:$P$65),'附件4 前方安定度計算'!$P$10:$P$65,0),-12,1,1)&amp;"cm、吊升荷重:"&amp;OFFSET('附件4 前方安定度計算'!$P$9,MATCH(MIN('附件4 前方安定度計算'!$P$10:$P$65),'附件4 前方安定度計算'!$P$10:$P$65,0),-14,1,1)&amp;"kg)...詳附件4"</f>
        <v>(本機具最不利位置為：伸臂長度:1105cm、作業半徑：1081cm、吊升荷重:730kg)...詳附件4</v>
      </c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</row>
    <row r="79" spans="1:21" x14ac:dyDescent="0.25">
      <c r="B79" s="14" t="s">
        <v>117</v>
      </c>
    </row>
    <row r="81" spans="1:21" s="14" customFormat="1" x14ac:dyDescent="0.25">
      <c r="C81" s="112" t="s">
        <v>112</v>
      </c>
      <c r="D81" s="124" t="s">
        <v>114</v>
      </c>
      <c r="E81" s="124"/>
      <c r="F81" s="124"/>
      <c r="G81" s="124"/>
      <c r="H81" s="112" t="s">
        <v>192</v>
      </c>
      <c r="I81" s="204" t="str">
        <f ca="1">ROUND(OFFSET('附件4 前方安定度計算'!$P$9,MATCH(MIN('附件4 前方安定度計算'!$P$10:$P$65),'附件4 前方安定度計算'!$P$10:$P$65,0),-1,1,1),3)&amp;" + "&amp;OFFSET('附件4 前方安定度計算'!$P$9,MATCH(MIN('附件4 前方安定度計算'!$P$10:$P$65),'附件4 前方安定度計算'!$P$10:$P$65,0),-14,1,1)/1000&amp;" + "&amp;ROUND(OFFSET('附件4 前方安定度計算'!$P$9,MATCH(MIN('附件4 前方安定度計算'!$P$10:$P$65),'附件4 前方安定度計算'!$P$10:$P$65,0),-4,1,1),3)</f>
        <v>0.528 + 0.73 + 0.735</v>
      </c>
      <c r="J81" s="204"/>
      <c r="K81" s="204"/>
      <c r="L81" s="204"/>
      <c r="M81" s="204"/>
    </row>
    <row r="82" spans="1:21" s="14" customFormat="1" x14ac:dyDescent="0.25">
      <c r="C82" s="112"/>
      <c r="D82" s="117" t="s">
        <v>115</v>
      </c>
      <c r="E82" s="117"/>
      <c r="F82" s="117"/>
      <c r="G82" s="117"/>
      <c r="H82" s="112"/>
      <c r="I82" s="122">
        <f ca="1">OFFSET('附件4 前方安定度計算'!$P$9,MATCH(MIN('附件4 前方安定度計算'!$P$10:$P$65),'附件4 前方安定度計算'!$P$10:$P$65,0),-1,1,1)</f>
        <v>0.52760560033103487</v>
      </c>
      <c r="J82" s="122"/>
      <c r="K82" s="63" t="s">
        <v>193</v>
      </c>
      <c r="L82" s="127">
        <f ca="1">OFFSET('附件4 前方安定度計算'!$P$9,MATCH(MIN('附件4 前方安定度計算'!$P$10:$P$65),'附件4 前方安定度計算'!$P$10:$P$65,0),-14,1,1)/1000</f>
        <v>0.73</v>
      </c>
      <c r="M82" s="127"/>
    </row>
    <row r="83" spans="1:21" s="14" customFormat="1" x14ac:dyDescent="0.25"/>
    <row r="84" spans="1:21" s="14" customFormat="1" x14ac:dyDescent="0.25">
      <c r="C84" s="8" t="s">
        <v>192</v>
      </c>
      <c r="D84" s="120">
        <f ca="1">(ROUND(OFFSET('附件4 前方安定度計算'!$P$9,MATCH(MIN('附件4 前方安定度計算'!$P$10:$P$65),'附件4 前方安定度計算'!$P$10:$P$65,0),-1,1,1),3)+OFFSET('附件4 前方安定度計算'!$P$9,MATCH(MIN('附件4 前方安定度計算'!$P$10:$P$65),'附件4 前方安定度計算'!$P$10:$P$65,0),-14,1,1)/1000+ROUND(OFFSET('附件4 前方安定度計算'!$P$9,MATCH(MIN('附件4 前方安定度計算'!$P$10:$P$65),'附件4 前方安定度計算'!$P$10:$P$65,0),-4,1,1),3))/(I82+L82)</f>
        <v>1.5847575738175703</v>
      </c>
      <c r="E84" s="120"/>
      <c r="F84" s="43" t="str">
        <f ca="1">IF(D84&gt;=1.15,"≧ 1.15 …OK!","≦ 1.15 …不符規定!")</f>
        <v>≧ 1.15 …OK!</v>
      </c>
      <c r="I84" s="63"/>
    </row>
    <row r="87" spans="1:21" ht="16.5" x14ac:dyDescent="0.25">
      <c r="A87" s="40" t="s">
        <v>90</v>
      </c>
    </row>
    <row r="88" spans="1:21" ht="9.75" customHeight="1" x14ac:dyDescent="0.25"/>
    <row r="89" spans="1:21" x14ac:dyDescent="0.25">
      <c r="B89" s="123" t="s">
        <v>91</v>
      </c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</row>
    <row r="90" spans="1:21" s="14" customFormat="1" x14ac:dyDescent="0.25"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</row>
    <row r="91" spans="1:21" x14ac:dyDescent="0.25">
      <c r="B91" s="14" t="s">
        <v>92</v>
      </c>
    </row>
    <row r="92" spans="1:21" x14ac:dyDescent="0.25">
      <c r="B92" s="14" t="s">
        <v>93</v>
      </c>
    </row>
    <row r="93" spans="1:21" ht="7.5" customHeight="1" x14ac:dyDescent="0.25"/>
    <row r="94" spans="1:21" s="14" customFormat="1" x14ac:dyDescent="0.25">
      <c r="C94" s="14" t="s">
        <v>213</v>
      </c>
    </row>
    <row r="95" spans="1:21" s="14" customFormat="1" x14ac:dyDescent="0.25">
      <c r="C95" s="14" t="s">
        <v>214</v>
      </c>
    </row>
    <row r="96" spans="1:21" s="14" customFormat="1" ht="7.5" customHeight="1" x14ac:dyDescent="0.25"/>
    <row r="97" spans="3:13" s="14" customFormat="1" ht="18" x14ac:dyDescent="0.25">
      <c r="C97" s="14" t="s">
        <v>106</v>
      </c>
    </row>
    <row r="98" spans="3:13" s="14" customFormat="1" x14ac:dyDescent="0.25"/>
    <row r="99" spans="3:13" x14ac:dyDescent="0.25">
      <c r="C99" s="2" t="s">
        <v>107</v>
      </c>
    </row>
    <row r="101" spans="3:13" x14ac:dyDescent="0.25">
      <c r="C101" s="2" t="s">
        <v>108</v>
      </c>
    </row>
    <row r="103" spans="3:13" ht="16.5" customHeight="1" x14ac:dyDescent="0.25">
      <c r="C103" s="2" t="s">
        <v>87</v>
      </c>
      <c r="D103" s="120">
        <f>N31</f>
        <v>86.25</v>
      </c>
      <c r="E103" s="115"/>
      <c r="F103" s="112" t="s">
        <v>94</v>
      </c>
      <c r="G103" s="112"/>
      <c r="H103" s="121">
        <f>L32</f>
        <v>125.72858669833728</v>
      </c>
      <c r="I103" s="121"/>
      <c r="J103" s="14" t="s">
        <v>17</v>
      </c>
      <c r="K103" s="120">
        <f>D103*3^0.5/H103</f>
        <v>1.18818946490863</v>
      </c>
      <c r="L103" s="120"/>
      <c r="M103" s="43" t="str">
        <f>IF(K103&gt;=1,"≧1 …OK!","≦ 1 …不符規定!")</f>
        <v>≧1 …OK!</v>
      </c>
    </row>
  </sheetData>
  <sheetProtection password="E0D1" sheet="1" objects="1" scenarios="1"/>
  <mergeCells count="92">
    <mergeCell ref="I81:M81"/>
    <mergeCell ref="I82:J82"/>
    <mergeCell ref="L82:M82"/>
    <mergeCell ref="D84:E84"/>
    <mergeCell ref="C78:U78"/>
    <mergeCell ref="C81:C82"/>
    <mergeCell ref="H81:H82"/>
    <mergeCell ref="D81:G81"/>
    <mergeCell ref="D82:G82"/>
    <mergeCell ref="N31:O31"/>
    <mergeCell ref="L32:M32"/>
    <mergeCell ref="L13:M13"/>
    <mergeCell ref="I13:J13"/>
    <mergeCell ref="C72:C73"/>
    <mergeCell ref="D72:G72"/>
    <mergeCell ref="D73:G73"/>
    <mergeCell ref="H72:I73"/>
    <mergeCell ref="C31:H31"/>
    <mergeCell ref="C32:H32"/>
    <mergeCell ref="I31:J31"/>
    <mergeCell ref="I32:J32"/>
    <mergeCell ref="L31:M31"/>
    <mergeCell ref="D67:E67"/>
    <mergeCell ref="G67:H67"/>
    <mergeCell ref="J67:K67"/>
    <mergeCell ref="B89:U90"/>
    <mergeCell ref="D103:E103"/>
    <mergeCell ref="H103:I103"/>
    <mergeCell ref="K103:L103"/>
    <mergeCell ref="F103:G103"/>
    <mergeCell ref="D51:E51"/>
    <mergeCell ref="G51:H51"/>
    <mergeCell ref="J51:K51"/>
    <mergeCell ref="C37:U38"/>
    <mergeCell ref="C53:U54"/>
    <mergeCell ref="L29:M29"/>
    <mergeCell ref="C12:H12"/>
    <mergeCell ref="I12:J12"/>
    <mergeCell ref="L12:M12"/>
    <mergeCell ref="I17:J17"/>
    <mergeCell ref="L17:M17"/>
    <mergeCell ref="C13:H13"/>
    <mergeCell ref="L24:M24"/>
    <mergeCell ref="I18:J18"/>
    <mergeCell ref="L18:M18"/>
    <mergeCell ref="C16:H16"/>
    <mergeCell ref="C18:H18"/>
    <mergeCell ref="L19:N19"/>
    <mergeCell ref="B21:B22"/>
    <mergeCell ref="L27:U27"/>
    <mergeCell ref="L26:U26"/>
    <mergeCell ref="L21:U21"/>
    <mergeCell ref="K26:K27"/>
    <mergeCell ref="I26:J27"/>
    <mergeCell ref="C26:H27"/>
    <mergeCell ref="B26:B27"/>
    <mergeCell ref="L22:U22"/>
    <mergeCell ref="K21:K22"/>
    <mergeCell ref="C21:H22"/>
    <mergeCell ref="I21:J22"/>
    <mergeCell ref="O19:P19"/>
    <mergeCell ref="C19:H19"/>
    <mergeCell ref="C10:H10"/>
    <mergeCell ref="C11:H11"/>
    <mergeCell ref="L8:M8"/>
    <mergeCell ref="C15:H15"/>
    <mergeCell ref="I15:J15"/>
    <mergeCell ref="L15:M15"/>
    <mergeCell ref="I16:J16"/>
    <mergeCell ref="I19:J19"/>
    <mergeCell ref="L16:M16"/>
    <mergeCell ref="L7:M7"/>
    <mergeCell ref="I6:J6"/>
    <mergeCell ref="I7:J7"/>
    <mergeCell ref="I9:J9"/>
    <mergeCell ref="L9:M9"/>
    <mergeCell ref="C5:H5"/>
    <mergeCell ref="C14:H14"/>
    <mergeCell ref="I14:J14"/>
    <mergeCell ref="L14:M14"/>
    <mergeCell ref="C6:H6"/>
    <mergeCell ref="C7:H7"/>
    <mergeCell ref="C8:H8"/>
    <mergeCell ref="C9:H9"/>
    <mergeCell ref="I8:J8"/>
    <mergeCell ref="I5:J5"/>
    <mergeCell ref="L5:M5"/>
    <mergeCell ref="I10:J10"/>
    <mergeCell ref="I11:J11"/>
    <mergeCell ref="L10:M10"/>
    <mergeCell ref="L11:M11"/>
    <mergeCell ref="L6:M6"/>
  </mergeCells>
  <phoneticPr fontId="1" type="noConversion"/>
  <pageMargins left="0" right="0" top="0.19685039370078741" bottom="0.59055118110236227" header="0.31496062992125984" footer="0.31496062992125984"/>
  <pageSetup paperSize="9" orientation="portrait" r:id="rId1"/>
  <headerFooter>
    <oddFooter>&amp;C-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AP40"/>
  <sheetViews>
    <sheetView showGridLines="0" zoomScale="85" zoomScaleNormal="85" zoomScaleSheetLayoutView="85" workbookViewId="0">
      <selection activeCell="R8" sqref="R8"/>
    </sheetView>
  </sheetViews>
  <sheetFormatPr defaultColWidth="8.625" defaultRowHeight="21.75" customHeight="1" x14ac:dyDescent="0.25"/>
  <cols>
    <col min="1" max="3" width="4.625" style="4" customWidth="1"/>
    <col min="4" max="11" width="8.625" style="4" customWidth="1"/>
    <col min="12" max="12" width="12.375" style="4" customWidth="1"/>
    <col min="13" max="13" width="5.375" style="4" customWidth="1"/>
    <col min="14" max="14" width="8.625" style="14"/>
    <col min="15" max="15" width="8.625" style="4"/>
    <col min="16" max="16" width="10" style="4" bestFit="1" customWidth="1"/>
    <col min="17" max="21" width="8.625" style="4"/>
    <col min="22" max="22" width="14.375" style="4" customWidth="1"/>
    <col min="23" max="26" width="8.625" style="4"/>
    <col min="27" max="27" width="10.125" style="4" bestFit="1" customWidth="1"/>
    <col min="28" max="32" width="8.625" style="4"/>
    <col min="33" max="33" width="11.25" style="4" bestFit="1" customWidth="1"/>
    <col min="34" max="16384" width="8.625" style="4"/>
  </cols>
  <sheetData>
    <row r="1" spans="1:42" ht="21.75" customHeight="1" thickTop="1" x14ac:dyDescent="0.25">
      <c r="A1" s="148"/>
      <c r="B1" s="149"/>
      <c r="C1" s="149"/>
      <c r="D1" s="149"/>
      <c r="E1" s="10" t="s">
        <v>58</v>
      </c>
      <c r="F1" s="10" t="s">
        <v>59</v>
      </c>
      <c r="G1" s="10" t="s">
        <v>60</v>
      </c>
      <c r="H1" s="10" t="s">
        <v>61</v>
      </c>
      <c r="I1" s="10" t="s">
        <v>62</v>
      </c>
      <c r="J1" s="10" t="s">
        <v>63</v>
      </c>
      <c r="K1" s="10" t="s">
        <v>64</v>
      </c>
      <c r="L1" s="152" t="s">
        <v>57</v>
      </c>
    </row>
    <row r="2" spans="1:42" ht="21.75" customHeight="1" x14ac:dyDescent="0.25">
      <c r="A2" s="150"/>
      <c r="B2" s="151"/>
      <c r="C2" s="151"/>
      <c r="D2" s="151"/>
      <c r="E2" s="11">
        <v>1</v>
      </c>
      <c r="F2" s="11">
        <v>2</v>
      </c>
      <c r="G2" s="11">
        <v>3</v>
      </c>
      <c r="H2" s="11">
        <v>4</v>
      </c>
      <c r="I2" s="11">
        <v>5</v>
      </c>
      <c r="J2" s="11">
        <v>6</v>
      </c>
      <c r="K2" s="11">
        <v>7</v>
      </c>
      <c r="L2" s="153"/>
    </row>
    <row r="3" spans="1:42" s="14" customFormat="1" ht="21.75" customHeight="1" x14ac:dyDescent="0.25">
      <c r="A3" s="156" t="s">
        <v>121</v>
      </c>
      <c r="B3" s="157"/>
      <c r="C3" s="157"/>
      <c r="D3" s="158"/>
      <c r="E3" s="102">
        <v>393</v>
      </c>
      <c r="F3" s="102">
        <v>633</v>
      </c>
      <c r="G3" s="102">
        <v>872</v>
      </c>
      <c r="H3" s="102">
        <v>1105</v>
      </c>
      <c r="I3" s="102">
        <v>1338</v>
      </c>
      <c r="J3" s="102">
        <v>1571</v>
      </c>
      <c r="K3" s="102"/>
      <c r="L3" s="19"/>
    </row>
    <row r="4" spans="1:42" ht="21.75" customHeight="1" x14ac:dyDescent="0.25">
      <c r="A4" s="133" t="s">
        <v>154</v>
      </c>
      <c r="B4" s="134"/>
      <c r="C4" s="134"/>
      <c r="D4" s="134"/>
      <c r="E4" s="47">
        <f>E3</f>
        <v>393</v>
      </c>
      <c r="F4" s="47">
        <f>IF(F3="","",F3-E3)</f>
        <v>240</v>
      </c>
      <c r="G4" s="47">
        <f t="shared" ref="G4:K4" si="0">IF(G3="","",G3-F3)</f>
        <v>239</v>
      </c>
      <c r="H4" s="47">
        <f t="shared" si="0"/>
        <v>233</v>
      </c>
      <c r="I4" s="47">
        <f t="shared" si="0"/>
        <v>233</v>
      </c>
      <c r="J4" s="47">
        <f t="shared" si="0"/>
        <v>233</v>
      </c>
      <c r="K4" s="47" t="str">
        <f t="shared" si="0"/>
        <v/>
      </c>
      <c r="L4" s="22">
        <f t="array" ref="L4">SUM(IF($E$4:$K$4="",0,1))</f>
        <v>6</v>
      </c>
    </row>
    <row r="5" spans="1:42" ht="21.75" customHeight="1" thickBot="1" x14ac:dyDescent="0.3">
      <c r="A5" s="154" t="s">
        <v>69</v>
      </c>
      <c r="B5" s="155"/>
      <c r="C5" s="155"/>
      <c r="D5" s="155"/>
      <c r="E5" s="103">
        <v>278</v>
      </c>
      <c r="F5" s="103">
        <v>165</v>
      </c>
      <c r="G5" s="103">
        <v>136</v>
      </c>
      <c r="H5" s="103">
        <v>112</v>
      </c>
      <c r="I5" s="103">
        <v>98</v>
      </c>
      <c r="J5" s="103">
        <v>85</v>
      </c>
      <c r="K5" s="103"/>
      <c r="L5" s="21">
        <f>SUM(E5:K5)</f>
        <v>874</v>
      </c>
    </row>
    <row r="6" spans="1:42" s="13" customFormat="1" ht="21.75" customHeight="1" thickTop="1" x14ac:dyDescent="0.25">
      <c r="A6" s="150"/>
      <c r="B6" s="151"/>
      <c r="C6" s="151"/>
      <c r="D6" s="151"/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159"/>
      <c r="L6" s="18" t="s">
        <v>57</v>
      </c>
      <c r="N6" s="14"/>
    </row>
    <row r="7" spans="1:42" s="13" customFormat="1" ht="21.75" customHeight="1" x14ac:dyDescent="0.25">
      <c r="A7" s="164" t="s">
        <v>70</v>
      </c>
      <c r="B7" s="117"/>
      <c r="C7" s="117"/>
      <c r="D7" s="165"/>
      <c r="E7" s="145">
        <v>57</v>
      </c>
      <c r="F7" s="145">
        <v>48</v>
      </c>
      <c r="G7" s="145">
        <v>20</v>
      </c>
      <c r="H7" s="145"/>
      <c r="I7" s="145"/>
      <c r="J7" s="145"/>
      <c r="K7" s="160"/>
      <c r="L7" s="29">
        <f t="array" ref="L7">SUM(IF($E$7:$K$7="",0,1))</f>
        <v>3</v>
      </c>
      <c r="N7" s="14"/>
    </row>
    <row r="8" spans="1:42" s="14" customFormat="1" ht="21.75" customHeight="1" thickBot="1" x14ac:dyDescent="0.3">
      <c r="A8" s="166"/>
      <c r="B8" s="167"/>
      <c r="C8" s="167"/>
      <c r="D8" s="168"/>
      <c r="E8" s="146"/>
      <c r="F8" s="146"/>
      <c r="G8" s="146"/>
      <c r="H8" s="146"/>
      <c r="I8" s="146"/>
      <c r="J8" s="146"/>
      <c r="K8" s="161"/>
      <c r="L8" s="21">
        <f>SUM(E7:J7)</f>
        <v>125</v>
      </c>
    </row>
    <row r="9" spans="1:42" ht="21.75" customHeight="1" thickTop="1" x14ac:dyDescent="0.25">
      <c r="A9" s="162"/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31" t="s">
        <v>68</v>
      </c>
    </row>
    <row r="10" spans="1:42" ht="21.75" customHeight="1" x14ac:dyDescent="0.25">
      <c r="A10" s="133" t="s">
        <v>67</v>
      </c>
      <c r="B10" s="134"/>
      <c r="C10" s="134"/>
      <c r="D10" s="32">
        <v>1</v>
      </c>
      <c r="E10" s="52">
        <f t="shared" ref="E10:G10" si="1">IF(OR($D10&gt;$L$4,E$2&gt;$L$4),"",IF(IF(E$2&lt;=$L$7,IF(E$2&gt;$D10,0,1),($D10-$L$7)/($L$4-$L$7))&lt;=0,0,IF(E$2&lt;=$L$7,1,($D10-$L$7)/($L$4-$L$7))))</f>
        <v>1</v>
      </c>
      <c r="F10" s="52">
        <f t="shared" si="1"/>
        <v>0</v>
      </c>
      <c r="G10" s="52">
        <f t="shared" si="1"/>
        <v>0</v>
      </c>
      <c r="H10" s="52">
        <f>IF(OR($D10&gt;$L$4,H$2&gt;$L$4),"",IF(IF(H$2&lt;=$L$7,IF(H$2&gt;$D10,0,1),($D10-$L$7)/($L$4-$L$7))&lt;=0,0,IF(H$2&lt;=$L$7,1,($D10-$L$7)/($L$4-$L$7))))</f>
        <v>0</v>
      </c>
      <c r="I10" s="52">
        <f t="shared" ref="I10:K10" si="2">IF(OR($D10&gt;$L$4,I$2&gt;$L$4),"",IF(IF(I$2&lt;=$L$7,IF(I$2&gt;$D10,0,1),($D10-$L$7)/($L$4-$L$7))&lt;=0,0,IF(I$2&lt;=$L$7,1,($D10-$L$7)/($L$4-$L$7))))</f>
        <v>0</v>
      </c>
      <c r="J10" s="52">
        <f t="shared" si="2"/>
        <v>0</v>
      </c>
      <c r="K10" s="52" t="str">
        <f t="shared" si="2"/>
        <v/>
      </c>
      <c r="L10" s="19" t="str">
        <f t="array" ref="L10">IF(D10&lt;=SUM(IF($E$4:$K$4="",0,1)),D10&amp;"節重心(d"&amp;D10&amp;")","")</f>
        <v>1節重心(d1)</v>
      </c>
      <c r="AK10" s="24"/>
      <c r="AL10" s="24"/>
      <c r="AM10" s="24"/>
      <c r="AN10" s="24"/>
      <c r="AO10" s="24"/>
      <c r="AP10" s="24"/>
    </row>
    <row r="11" spans="1:42" ht="21.75" customHeight="1" x14ac:dyDescent="0.25">
      <c r="A11" s="133" t="s">
        <v>65</v>
      </c>
      <c r="B11" s="134"/>
      <c r="C11" s="134"/>
      <c r="D11" s="32">
        <v>1</v>
      </c>
      <c r="E11" s="12">
        <f>IF(E10="","",$E$4/2)</f>
        <v>196.5</v>
      </c>
      <c r="F11" s="7">
        <f t="array" ref="F11">IF(F10="","",SUM($E$4:$F$4*E10:F10)-F$4/2)</f>
        <v>273</v>
      </c>
      <c r="G11" s="7">
        <f t="array" ref="G11">IF(G10="","",SUM($E$4:$G$4*E10:G10)-G$4/2)</f>
        <v>273.5</v>
      </c>
      <c r="H11" s="7">
        <f t="array" ref="H11">IF(H10="","",SUM($E$4:$H$4*E10:H10)-H$4/2)</f>
        <v>276.5</v>
      </c>
      <c r="I11" s="7">
        <f t="array" ref="I11">IF(I10="","",SUM($E$4:$I$4*E10:I10)-I$4/2)</f>
        <v>276.5</v>
      </c>
      <c r="J11" s="7">
        <f t="array" ref="J11">IF(J10="","",SUM($E$4:$J$4*E10:J10)-J$4/2)</f>
        <v>276.5</v>
      </c>
      <c r="K11" s="7" t="str">
        <f t="array" ref="K11">IF(K10="","",SUM($E$4:$K$4*E10:K10)-K$4/2)</f>
        <v/>
      </c>
      <c r="L11" s="139">
        <f t="array" ref="L11">IF(D11&gt;SUM(IF($E$4:$K$4="",0,1)),"",(SUM(IF(E11:K11="",0,E11:K11)*IF($E$5:$K$5="",0,$E$5:$K$5))+SUM(IF($E$7:$J$8="",0,$E$7:$J$8)*IF(E12:J12="",0,E12:J12)))/($L$5+$L$8))</f>
        <v>248.45845845845847</v>
      </c>
    </row>
    <row r="12" spans="1:42" s="13" customFormat="1" ht="21.75" customHeight="1" thickBot="1" x14ac:dyDescent="0.3">
      <c r="A12" s="141" t="s">
        <v>66</v>
      </c>
      <c r="B12" s="142"/>
      <c r="C12" s="142"/>
      <c r="D12" s="48">
        <v>1</v>
      </c>
      <c r="E12" s="49">
        <f t="array" ref="E12">IF(OR(E$7="",E10=""),"",(SUM(IF($E$4:$E$4="",0,$E$4:$E$4)*E10:E10)-E$4+SUM(IF($E$4:$F$4="",0,$E$4:$F$4)*E10:F10))/2)</f>
        <v>196.5</v>
      </c>
      <c r="F12" s="49">
        <f t="array" ref="F12">IF(OR(F$7="",F10=""),"",(SUM(IF($E$4:$F$4="",0,$E$4:$F$4)*E10:F10)-F$4+SUM(IF($E$4:$G$4="",0,$E$4:$G$4)*E10:G10))/2)</f>
        <v>273</v>
      </c>
      <c r="G12" s="49">
        <f t="array" ref="G12">IF(OR(G$7="",G10=""),"",(SUM(IF($E$4:$G$4="",0,$E$4:$G$4)*E10:G10)-G$4+SUM(IF($E$4:$H$4="",0,$E$4:$H$4)*E10:H10))/2)</f>
        <v>273.5</v>
      </c>
      <c r="H12" s="49" t="str">
        <f t="array" ref="H12">IF(OR(H$7="",H10=""),"",(SUM(IF($E$4:$H$4="",0,$E$4:$H$4)*E10:H10)-H$4+SUM(IF($E$4:$I$4="",0,$E$4:$I$4)*E10:I10))/2)</f>
        <v/>
      </c>
      <c r="I12" s="49" t="str">
        <f t="array" ref="I12">IF(OR(I$7="",I10=""),"",(SUM(IF($E$4:$I$4="",0,$E$4:$I$4)*E10:I10)-I$4+SUM(IF($E$4:$J$4="",0,$E$4:$J$4)*E10:J10))/2)</f>
        <v/>
      </c>
      <c r="J12" s="49" t="str">
        <f t="array" ref="J12">IF(OR(J$7="",J10=""),"",(SUM(IF($E$4:$J$4="",0,$E$4:$J$4)*E10:J10)-J$4+SUM(IF($E$4:$K$4="",0,$E$4:$K$4)*E10:K10))/2)</f>
        <v/>
      </c>
      <c r="K12" s="50"/>
      <c r="L12" s="140"/>
    </row>
    <row r="13" spans="1:42" ht="21.75" customHeight="1" x14ac:dyDescent="0.25">
      <c r="A13" s="143" t="s">
        <v>67</v>
      </c>
      <c r="B13" s="144"/>
      <c r="C13" s="144"/>
      <c r="D13" s="54">
        <v>2</v>
      </c>
      <c r="E13" s="55">
        <f t="shared" ref="E13:G13" si="3">IF(OR($D13&gt;$L$4,E$2&gt;$L$4),"",IF(IF(E$2&lt;=$L$7,IF(E$2&gt;$D13,0,1),($D13-$L$7)/($L$4-$L$7))&lt;=0,0,IF(E$2&lt;=$L$7,1,($D13-$L$7)/($L$4-$L$7))))</f>
        <v>1</v>
      </c>
      <c r="F13" s="55">
        <f t="shared" si="3"/>
        <v>1</v>
      </c>
      <c r="G13" s="55">
        <f t="shared" si="3"/>
        <v>0</v>
      </c>
      <c r="H13" s="55">
        <f>IF(OR($D13&gt;$L$4,H$2&gt;$L$4),"",IF(IF(H$2&lt;=$L$7,IF(H$2&gt;$D13,0,1),($D13-$L$7)/($L$4-$L$7))&lt;=0,0,IF(H$2&lt;=$L$7,1,($D13-$L$7)/($L$4-$L$7))))</f>
        <v>0</v>
      </c>
      <c r="I13" s="55">
        <f t="shared" ref="I13:K13" si="4">IF(OR($D13&gt;$L$4,I$2&gt;$L$4),"",IF(IF(I$2&lt;=$L$7,IF(I$2&gt;$D13,0,1),($D13-$L$7)/($L$4-$L$7))&lt;=0,0,IF(I$2&lt;=$L$7,1,($D13-$L$7)/($L$4-$L$7))))</f>
        <v>0</v>
      </c>
      <c r="J13" s="55">
        <f t="shared" si="4"/>
        <v>0</v>
      </c>
      <c r="K13" s="55" t="str">
        <f t="shared" si="4"/>
        <v/>
      </c>
      <c r="L13" s="56" t="str">
        <f t="array" ref="L13">IF(D13&lt;=SUM(IF($E$4:$K$4="",0,1)),D13&amp;"節重心(d"&amp;D13&amp;")","")</f>
        <v>2節重心(d2)</v>
      </c>
      <c r="AJ13" s="24"/>
      <c r="AK13" s="24"/>
      <c r="AL13" s="24"/>
      <c r="AM13" s="24"/>
      <c r="AN13" s="24"/>
      <c r="AO13" s="24"/>
    </row>
    <row r="14" spans="1:42" ht="21.75" customHeight="1" x14ac:dyDescent="0.25">
      <c r="A14" s="133" t="s">
        <v>65</v>
      </c>
      <c r="B14" s="134"/>
      <c r="C14" s="134"/>
      <c r="D14" s="32">
        <v>2</v>
      </c>
      <c r="E14" s="12">
        <f>IF(E13="","",$E$4/2)</f>
        <v>196.5</v>
      </c>
      <c r="F14" s="7">
        <f t="array" ref="F14">IF(F13="","",SUM($E$4:$F$4*E13:F13)-F$4/2)</f>
        <v>513</v>
      </c>
      <c r="G14" s="7">
        <f t="array" ref="G14">IF(G13="","",SUM($E$4:$G$4*E13:G13)-G$4/2)</f>
        <v>513.5</v>
      </c>
      <c r="H14" s="7">
        <f t="array" ref="H14">IF(H13="","",SUM($E$4:$H$4*E13:H13)-H$4/2)</f>
        <v>516.5</v>
      </c>
      <c r="I14" s="7">
        <f t="array" ref="I14">IF(I13="","",SUM($E$4:$I$4*E13:I13)-I$4/2)</f>
        <v>516.5</v>
      </c>
      <c r="J14" s="7">
        <f t="array" ref="J14">IF(J13="","",SUM($E$4:$J$4*E13:J13)-J$4/2)</f>
        <v>516.5</v>
      </c>
      <c r="K14" s="7" t="str">
        <f t="array" ref="K14">IF(K13="","",SUM($E$4:$K$4*E13:K13)-K$4/2)</f>
        <v/>
      </c>
      <c r="L14" s="139">
        <f t="array" ref="L14">IF(D14&gt;SUM(IF($E$4:$K$4="",0,1)),"",(SUM(IF(E14:K14="",0,E14:K14)*IF($E$5:$K$5="",0,$E$5:$K$5))+SUM(IF($E$7:$J$8="",0,$E$7:$J$8)*IF(E15:J15="",0,E15:J15)))/($L$5+$L$8))</f>
        <v>414.82482482482482</v>
      </c>
    </row>
    <row r="15" spans="1:42" s="13" customFormat="1" ht="21.75" customHeight="1" thickBot="1" x14ac:dyDescent="0.3">
      <c r="A15" s="137" t="s">
        <v>66</v>
      </c>
      <c r="B15" s="138"/>
      <c r="C15" s="138"/>
      <c r="D15" s="57">
        <v>2</v>
      </c>
      <c r="E15" s="58">
        <f t="array" ref="E15">IF(OR(E$7="",E13=""),"",(SUM(IF($E$4:$E$4="",0,$E$4:$E$4)*E13:E13)-E$4+SUM(IF($E$4:$F$4="",0,$E$4:$F$4)*E13:F13))/2)</f>
        <v>316.5</v>
      </c>
      <c r="F15" s="58">
        <f t="array" ref="F15">IF(OR(F$7="",F13=""),"",(SUM(IF($E$4:$F$4="",0,$E$4:$F$4)*E13:F13)-F$4+SUM(IF($E$4:$G$4="",0,$E$4:$G$4)*E13:G13))/2)</f>
        <v>513</v>
      </c>
      <c r="G15" s="58">
        <f t="array" ref="G15">IF(OR(G$7="",G13=""),"",(SUM(IF($E$4:$G$4="",0,$E$4:$G$4)*E13:G13)-G$4+SUM(IF($E$4:$H$4="",0,$E$4:$H$4)*E13:H13))/2)</f>
        <v>513.5</v>
      </c>
      <c r="H15" s="58" t="str">
        <f t="array" ref="H15">IF(OR(H$7="",H13=""),"",(SUM(IF($E$4:$H$4="",0,$E$4:$H$4)*E13:H13)-H$4+SUM(IF($E$4:$I$4="",0,$E$4:$I$4)*E13:I13))/2)</f>
        <v/>
      </c>
      <c r="I15" s="58" t="str">
        <f t="array" ref="I15">IF(OR(I$7="",I13=""),"",(SUM(IF($E$4:$I$4="",0,$E$4:$I$4)*E13:I13)-I$4+SUM(IF($E$4:$J$4="",0,$E$4:$J$4)*E13:J13))/2)</f>
        <v/>
      </c>
      <c r="J15" s="58" t="str">
        <f t="array" ref="J15">IF(OR(J$7="",J13=""),"",(SUM(IF($E$4:$J$4="",0,$E$4:$J$4)*E13:J13)-J$4+SUM(IF($E$4:$K$4="",0,$E$4:$K$4)*E13:K13))/2)</f>
        <v/>
      </c>
      <c r="K15" s="59"/>
      <c r="L15" s="140"/>
    </row>
    <row r="16" spans="1:42" ht="21.75" customHeight="1" x14ac:dyDescent="0.25">
      <c r="A16" s="135" t="s">
        <v>67</v>
      </c>
      <c r="B16" s="136"/>
      <c r="C16" s="136"/>
      <c r="D16" s="51">
        <v>3</v>
      </c>
      <c r="E16" s="52">
        <f t="shared" ref="E16:G16" si="5">IF(OR($D16&gt;$L$4,E$2&gt;$L$4),"",IF(IF(E$2&lt;=$L$7,IF(E$2&gt;$D16,0,1),($D16-$L$7)/($L$4-$L$7))&lt;=0,0,IF(E$2&lt;=$L$7,1,($D16-$L$7)/($L$4-$L$7))))</f>
        <v>1</v>
      </c>
      <c r="F16" s="52">
        <f t="shared" si="5"/>
        <v>1</v>
      </c>
      <c r="G16" s="52">
        <f t="shared" si="5"/>
        <v>1</v>
      </c>
      <c r="H16" s="52">
        <f>IF(OR($D16&gt;$L$4,H$2&gt;$L$4),"",IF(IF(H$2&lt;=$L$7,IF(H$2&gt;$D16,0,1),($D16-$L$7)/($L$4-$L$7))&lt;=0,0,IF(H$2&lt;=$L$7,1,($D16-$L$7)/($L$4-$L$7))))</f>
        <v>0</v>
      </c>
      <c r="I16" s="52">
        <f t="shared" ref="I16:K16" si="6">IF(OR($D16&gt;$L$4,I$2&gt;$L$4),"",IF(IF(I$2&lt;=$L$7,IF(I$2&gt;$D16,0,1),($D16-$L$7)/($L$4-$L$7))&lt;=0,0,IF(I$2&lt;=$L$7,1,($D16-$L$7)/($L$4-$L$7))))</f>
        <v>0</v>
      </c>
      <c r="J16" s="52">
        <f t="shared" si="6"/>
        <v>0</v>
      </c>
      <c r="K16" s="52" t="str">
        <f t="shared" si="6"/>
        <v/>
      </c>
      <c r="L16" s="53" t="str">
        <f t="array" ref="L16">IF(D16&lt;=SUM(IF($E$4:$K$4="",0,1)),D16&amp;"節重心(d"&amp;D16&amp;")","")</f>
        <v>3節重心(d3)</v>
      </c>
      <c r="AJ16" s="24"/>
      <c r="AK16" s="24"/>
      <c r="AL16" s="24"/>
      <c r="AM16" s="24"/>
      <c r="AN16" s="24"/>
      <c r="AO16" s="24"/>
    </row>
    <row r="17" spans="1:41" ht="21.75" customHeight="1" x14ac:dyDescent="0.25">
      <c r="A17" s="133" t="s">
        <v>65</v>
      </c>
      <c r="B17" s="134"/>
      <c r="C17" s="134"/>
      <c r="D17" s="32">
        <v>3</v>
      </c>
      <c r="E17" s="12">
        <f>IF(E16="","",$E$4/2)</f>
        <v>196.5</v>
      </c>
      <c r="F17" s="7">
        <f t="array" ref="F17">IF(F16="","",SUM($E$4:$F$4*E16:F16)-F$4/2)</f>
        <v>513</v>
      </c>
      <c r="G17" s="7">
        <f t="array" ref="G17">IF(G16="","",SUM($E$4:$G$4*E16:G16)-G$4/2)</f>
        <v>752.5</v>
      </c>
      <c r="H17" s="7">
        <f t="array" ref="H17">IF(H16="","",SUM($E$4:$H$4*E16:H16)-H$4/2)</f>
        <v>755.5</v>
      </c>
      <c r="I17" s="7">
        <f t="array" ref="I17">IF(I16="","",SUM($E$4:$I$4*E16:I16)-I$4/2)</f>
        <v>755.5</v>
      </c>
      <c r="J17" s="7">
        <f t="array" ref="J17">IF(J16="","",SUM($E$4:$J$4*E16:J16)-J$4/2)</f>
        <v>755.5</v>
      </c>
      <c r="K17" s="7" t="str">
        <f t="array" ref="K17">IF(K16="","",SUM($E$4:$K$4*E16:K16)-K$4/2)</f>
        <v/>
      </c>
      <c r="L17" s="139">
        <f t="array" ref="L17">IF(D17&gt;SUM(IF($E$4:$K$4="",0,1)),"",(SUM(IF(E17:K17="",0,E17:K17)*IF($E$5:$K$5="",0,$E$5:$K$5))+SUM(IF($E$7:$J$8="",0,$E$7:$J$8)*IF(E18:J18="",0,E18:J18)))/($L$5+$L$8))</f>
        <v>528.46346346346343</v>
      </c>
    </row>
    <row r="18" spans="1:41" s="13" customFormat="1" ht="21.75" customHeight="1" thickBot="1" x14ac:dyDescent="0.3">
      <c r="A18" s="141" t="s">
        <v>66</v>
      </c>
      <c r="B18" s="142"/>
      <c r="C18" s="142"/>
      <c r="D18" s="48">
        <v>3</v>
      </c>
      <c r="E18" s="49">
        <f t="array" ref="E18">IF(OR(E$7="",E16=""),"",(SUM(IF($E$4:$E$4="",0,$E$4:$E$4)*E16:E16)-E$4+SUM(IF($E$4:$F$4="",0,$E$4:$F$4)*E16:F16))/2)</f>
        <v>316.5</v>
      </c>
      <c r="F18" s="49">
        <f t="array" ref="F18">IF(OR(F$7="",F16=""),"",(SUM(IF($E$4:$F$4="",0,$E$4:$F$4)*E16:F16)-F$4+SUM(IF($E$4:$G$4="",0,$E$4:$G$4)*E16:G16))/2)</f>
        <v>632.5</v>
      </c>
      <c r="G18" s="49">
        <f t="array" ref="G18">IF(OR(G$7="",G16=""),"",(SUM(IF($E$4:$G$4="",0,$E$4:$G$4)*E16:G16)-G$4+SUM(IF($E$4:$H$4="",0,$E$4:$H$4)*E16:H16))/2)</f>
        <v>752.5</v>
      </c>
      <c r="H18" s="49" t="str">
        <f t="array" ref="H18">IF(OR(H$7="",H16=""),"",(SUM(IF($E$4:$H$4="",0,$E$4:$H$4)*E16:H16)-H$4+SUM(IF($E$4:$I$4="",0,$E$4:$I$4)*E16:I16))/2)</f>
        <v/>
      </c>
      <c r="I18" s="49" t="str">
        <f t="array" ref="I18">IF(OR(I$7="",I16=""),"",(SUM(IF($E$4:$I$4="",0,$E$4:$I$4)*E16:I16)-I$4+SUM(IF($E$4:$J$4="",0,$E$4:$J$4)*E16:J16))/2)</f>
        <v/>
      </c>
      <c r="J18" s="49" t="str">
        <f t="array" ref="J18">IF(OR(J$7="",J16=""),"",(SUM(IF($E$4:$J$4="",0,$E$4:$J$4)*E16:J16)-J$4+SUM(IF($E$4:$K$4="",0,$E$4:$K$4)*E16:K16))/2)</f>
        <v/>
      </c>
      <c r="K18" s="50"/>
      <c r="L18" s="140"/>
    </row>
    <row r="19" spans="1:41" ht="21.75" customHeight="1" x14ac:dyDescent="0.25">
      <c r="A19" s="143" t="s">
        <v>67</v>
      </c>
      <c r="B19" s="144"/>
      <c r="C19" s="144"/>
      <c r="D19" s="54">
        <v>4</v>
      </c>
      <c r="E19" s="55">
        <f t="shared" ref="E19:G19" si="7">IF(OR($D19&gt;$L$4,E$2&gt;$L$4),"",IF(IF(E$2&lt;=$L$7,IF(E$2&gt;$D19,0,1),($D19-$L$7)/($L$4-$L$7))&lt;=0,0,IF(E$2&lt;=$L$7,1,($D19-$L$7)/($L$4-$L$7))))</f>
        <v>1</v>
      </c>
      <c r="F19" s="55">
        <f t="shared" si="7"/>
        <v>1</v>
      </c>
      <c r="G19" s="55">
        <f t="shared" si="7"/>
        <v>1</v>
      </c>
      <c r="H19" s="55">
        <f>IF(OR($D19&gt;$L$4,H$2&gt;$L$4),"",IF(IF(H$2&lt;=$L$7,IF(H$2&gt;$D19,0,1),($D19-$L$7)/($L$4-$L$7))&lt;=0,0,IF(H$2&lt;=$L$7,1,($D19-$L$7)/($L$4-$L$7))))</f>
        <v>0.33333333333333331</v>
      </c>
      <c r="I19" s="55">
        <f t="shared" ref="I19:K19" si="8">IF(OR($D19&gt;$L$4,I$2&gt;$L$4),"",IF(IF(I$2&lt;=$L$7,IF(I$2&gt;$D19,0,1),($D19-$L$7)/($L$4-$L$7))&lt;=0,0,IF(I$2&lt;=$L$7,1,($D19-$L$7)/($L$4-$L$7))))</f>
        <v>0.33333333333333331</v>
      </c>
      <c r="J19" s="55">
        <f t="shared" si="8"/>
        <v>0.33333333333333331</v>
      </c>
      <c r="K19" s="55" t="str">
        <f t="shared" si="8"/>
        <v/>
      </c>
      <c r="L19" s="56" t="str">
        <f t="array" ref="L19">IF(D19&lt;=SUM(IF($E$4:$K$4="",0,1)),D19&amp;"節重心(d"&amp;D19&amp;")","")</f>
        <v>4節重心(d4)</v>
      </c>
      <c r="AJ19" s="24"/>
      <c r="AK19" s="24"/>
      <c r="AL19" s="24"/>
      <c r="AM19" s="24"/>
      <c r="AN19" s="24"/>
      <c r="AO19" s="24"/>
    </row>
    <row r="20" spans="1:41" ht="21.75" customHeight="1" x14ac:dyDescent="0.25">
      <c r="A20" s="133" t="s">
        <v>65</v>
      </c>
      <c r="B20" s="134"/>
      <c r="C20" s="134"/>
      <c r="D20" s="32">
        <v>4</v>
      </c>
      <c r="E20" s="12">
        <f>IF(E19="","",$E$4/2)</f>
        <v>196.5</v>
      </c>
      <c r="F20" s="7">
        <f t="array" ref="F20">IF(F19="","",SUM($E$4:$F$4*E19:F19)-F$4/2)</f>
        <v>513</v>
      </c>
      <c r="G20" s="7">
        <f t="array" ref="G20">IF(G19="","",SUM($E$4:$G$4*E19:G19)-G$4/2)</f>
        <v>752.5</v>
      </c>
      <c r="H20" s="7">
        <f t="array" ref="H20">IF(H19="","",SUM($E$4:$H$4*E19:H19)-H$4/2)</f>
        <v>833.16666666666663</v>
      </c>
      <c r="I20" s="7">
        <f t="array" ref="I20">IF(I19="","",SUM($E$4:$I$4*E19:I19)-I$4/2)</f>
        <v>910.83333333333326</v>
      </c>
      <c r="J20" s="7">
        <f t="array" ref="J20">IF(J19="","",SUM($E$4:$J$4*E19:J19)-J$4/2)</f>
        <v>988.5</v>
      </c>
      <c r="K20" s="7" t="str">
        <f t="array" ref="K20">IF(K19="","",SUM($E$4:$K$4*E19:K19)-K$4/2)</f>
        <v/>
      </c>
      <c r="L20" s="139">
        <f t="array" ref="L20">IF(D20&gt;SUM(IF($E$4:$K$4="",0,1)),"",(SUM(IF(E20:K20="",0,E20:K20)*IF($E$5:$K$5="",0,$E$5:$K$5))+SUM(IF($E$7:$J$8="",0,$E$7:$J$8)*IF(E21:J21="",0,E21:J21)))/($L$5+$L$8))</f>
        <v>573.01101101101085</v>
      </c>
    </row>
    <row r="21" spans="1:41" s="13" customFormat="1" ht="21.75" customHeight="1" thickBot="1" x14ac:dyDescent="0.3">
      <c r="A21" s="137" t="s">
        <v>66</v>
      </c>
      <c r="B21" s="138"/>
      <c r="C21" s="138"/>
      <c r="D21" s="57">
        <v>4</v>
      </c>
      <c r="E21" s="58">
        <f t="array" ref="E21">IF(OR(E$7="",E19=""),"",(SUM(IF($E$4:$E$4="",0,$E$4:$E$4)*E19:E19)-E$4+SUM(IF($E$4:$F$4="",0,$E$4:$F$4)*E19:F19))/2)</f>
        <v>316.5</v>
      </c>
      <c r="F21" s="58">
        <f t="array" ref="F21">IF(OR(F$7="",F19=""),"",(SUM(IF($E$4:$F$4="",0,$E$4:$F$4)*E19:F19)-F$4+SUM(IF($E$4:$G$4="",0,$E$4:$G$4)*E19:G19))/2)</f>
        <v>632.5</v>
      </c>
      <c r="G21" s="58">
        <f t="array" ref="G21">IF(OR(G$7="",G19=""),"",(SUM(IF($E$4:$G$4="",0,$E$4:$G$4)*E19:G19)-G$4+SUM(IF($E$4:$H$4="",0,$E$4:$H$4)*E19:H19))/2)</f>
        <v>791.33333333333326</v>
      </c>
      <c r="H21" s="58" t="str">
        <f t="array" ref="H21">IF(OR(H$7="",H19=""),"",(SUM(IF($E$4:$H$4="",0,$E$4:$H$4)*E19:H19)-H$4+SUM(IF($E$4:$I$4="",0,$E$4:$I$4)*E19:I19))/2)</f>
        <v/>
      </c>
      <c r="I21" s="58" t="str">
        <f t="array" ref="I21">IF(OR(I$7="",I19=""),"",(SUM(IF($E$4:$I$4="",0,$E$4:$I$4)*E19:I19)-I$4+SUM(IF($E$4:$J$4="",0,$E$4:$J$4)*E19:J19))/2)</f>
        <v/>
      </c>
      <c r="J21" s="58" t="str">
        <f t="array" ref="J21">IF(OR(J$7="",J19=""),"",(SUM(IF($E$4:$J$4="",0,$E$4:$J$4)*E19:J19)-J$4+SUM(IF($E$4:$K$4="",0,$E$4:$K$4)*E19:K19))/2)</f>
        <v/>
      </c>
      <c r="K21" s="59"/>
      <c r="L21" s="140"/>
    </row>
    <row r="22" spans="1:41" ht="21.75" customHeight="1" x14ac:dyDescent="0.25">
      <c r="A22" s="135" t="s">
        <v>67</v>
      </c>
      <c r="B22" s="136"/>
      <c r="C22" s="136"/>
      <c r="D22" s="51">
        <v>5</v>
      </c>
      <c r="E22" s="52">
        <f t="shared" ref="E22:G22" si="9">IF(OR($D22&gt;$L$4,E$2&gt;$L$4),"",IF(IF(E$2&lt;=$L$7,IF(E$2&gt;$D22,0,1),($D22-$L$7)/($L$4-$L$7))&lt;=0,0,IF(E$2&lt;=$L$7,1,($D22-$L$7)/($L$4-$L$7))))</f>
        <v>1</v>
      </c>
      <c r="F22" s="52">
        <f t="shared" si="9"/>
        <v>1</v>
      </c>
      <c r="G22" s="52">
        <f t="shared" si="9"/>
        <v>1</v>
      </c>
      <c r="H22" s="52">
        <f>IF(OR($D22&gt;$L$4,H$2&gt;$L$4),"",IF(IF(H$2&lt;=$L$7,IF(H$2&gt;$D22,0,1),($D22-$L$7)/($L$4-$L$7))&lt;=0,0,IF(H$2&lt;=$L$7,1,($D22-$L$7)/($L$4-$L$7))))</f>
        <v>0.66666666666666663</v>
      </c>
      <c r="I22" s="52">
        <f t="shared" ref="I22:K22" si="10">IF(OR($D22&gt;$L$4,I$2&gt;$L$4),"",IF(IF(I$2&lt;=$L$7,IF(I$2&gt;$D22,0,1),($D22-$L$7)/($L$4-$L$7))&lt;=0,0,IF(I$2&lt;=$L$7,1,($D22-$L$7)/($L$4-$L$7))))</f>
        <v>0.66666666666666663</v>
      </c>
      <c r="J22" s="52">
        <f t="shared" si="10"/>
        <v>0.66666666666666663</v>
      </c>
      <c r="K22" s="52" t="str">
        <f t="shared" si="10"/>
        <v/>
      </c>
      <c r="L22" s="53" t="str">
        <f t="array" ref="L22">IF(D22&lt;=SUM(IF($E$4:$K$4="",0,1)),D22&amp;"節重心(d"&amp;D22&amp;")","")</f>
        <v>5節重心(d5)</v>
      </c>
      <c r="AJ22" s="24"/>
      <c r="AK22" s="24"/>
      <c r="AL22" s="24"/>
      <c r="AM22" s="24"/>
      <c r="AN22" s="24"/>
      <c r="AO22" s="24"/>
    </row>
    <row r="23" spans="1:41" ht="21.75" customHeight="1" x14ac:dyDescent="0.25">
      <c r="A23" s="133" t="s">
        <v>65</v>
      </c>
      <c r="B23" s="134"/>
      <c r="C23" s="134"/>
      <c r="D23" s="32">
        <v>5</v>
      </c>
      <c r="E23" s="12">
        <f>IF(E22="","",$E$4/2)</f>
        <v>196.5</v>
      </c>
      <c r="F23" s="7">
        <f t="array" ref="F23">IF(F22="","",SUM($E$4:$F$4*E22:F22)-F$4/2)</f>
        <v>513</v>
      </c>
      <c r="G23" s="7">
        <f t="array" ref="G23">IF(G22="","",SUM($E$4:$G$4*E22:G22)-G$4/2)</f>
        <v>752.5</v>
      </c>
      <c r="H23" s="7">
        <f t="array" ref="H23">IF(H22="","",SUM($E$4:$H$4*E22:H22)-H$4/2)</f>
        <v>910.83333333333326</v>
      </c>
      <c r="I23" s="7">
        <f t="array" ref="I23">IF(I22="","",SUM($E$4:$I$4*E22:I22)-I$4/2)</f>
        <v>1066.1666666666665</v>
      </c>
      <c r="J23" s="7">
        <f t="array" ref="J23">IF(J22="","",SUM($E$4:$J$4*E22:J22)-J$4/2)</f>
        <v>1221.4999999999998</v>
      </c>
      <c r="K23" s="7" t="str">
        <f t="array" ref="K23">IF(K22="","",SUM($E$4:$K$4*E22:K22)-K$4/2)</f>
        <v/>
      </c>
      <c r="L23" s="139">
        <f t="array" ref="L23">IF(D23&gt;SUM(IF($E$4:$K$4="",0,1)),"",(SUM(IF(E23:K23="",0,E23:K23)*IF($E$5:$K$5="",0,$E$5:$K$5))+SUM(IF($E$7:$J$8="",0,$E$7:$J$8)*IF(E24:J24="",0,E24:J24)))/($L$5+$L$8))</f>
        <v>617.5585585585585</v>
      </c>
    </row>
    <row r="24" spans="1:41" s="13" customFormat="1" ht="21.75" customHeight="1" thickBot="1" x14ac:dyDescent="0.3">
      <c r="A24" s="141" t="s">
        <v>66</v>
      </c>
      <c r="B24" s="142"/>
      <c r="C24" s="142"/>
      <c r="D24" s="48">
        <v>5</v>
      </c>
      <c r="E24" s="49">
        <f t="array" ref="E24">IF(OR(E$7="",E22=""),"",(SUM(IF($E$4:$E$4="",0,$E$4:$E$4)*E22:E22)-E$4+SUM(IF($E$4:$F$4="",0,$E$4:$F$4)*E22:F22))/2)</f>
        <v>316.5</v>
      </c>
      <c r="F24" s="49">
        <f t="array" ref="F24">IF(OR(F$7="",F22=""),"",(SUM(IF($E$4:$F$4="",0,$E$4:$F$4)*E22:F22)-F$4+SUM(IF($E$4:$G$4="",0,$E$4:$G$4)*E22:G22))/2)</f>
        <v>632.5</v>
      </c>
      <c r="G24" s="49">
        <f t="array" ref="G24">IF(OR(G$7="",G22=""),"",(SUM(IF($E$4:$G$4="",0,$E$4:$G$4)*E22:G22)-G$4+SUM(IF($E$4:$H$4="",0,$E$4:$H$4)*E22:H22))/2)</f>
        <v>830.16666666666663</v>
      </c>
      <c r="H24" s="49" t="str">
        <f t="array" ref="H24">IF(OR(H$7="",H22=""),"",(SUM(IF($E$4:$H$4="",0,$E$4:$H$4)*E22:H22)-H$4+SUM(IF($E$4:$I$4="",0,$E$4:$I$4)*E22:I22))/2)</f>
        <v/>
      </c>
      <c r="I24" s="49" t="str">
        <f t="array" ref="I24">IF(OR(I$7="",I22=""),"",(SUM(IF($E$4:$I$4="",0,$E$4:$I$4)*E22:I22)-I$4+SUM(IF($E$4:$J$4="",0,$E$4:$J$4)*E22:J22))/2)</f>
        <v/>
      </c>
      <c r="J24" s="49" t="str">
        <f t="array" ref="J24">IF(OR(J$7="",J22=""),"",(SUM(IF($E$4:$J$4="",0,$E$4:$J$4)*E22:J22)-J$4+SUM(IF($E$4:$K$4="",0,$E$4:$K$4)*E22:K22))/2)</f>
        <v/>
      </c>
      <c r="K24" s="50"/>
      <c r="L24" s="140"/>
    </row>
    <row r="25" spans="1:41" ht="21.75" customHeight="1" x14ac:dyDescent="0.25">
      <c r="A25" s="143" t="s">
        <v>67</v>
      </c>
      <c r="B25" s="144"/>
      <c r="C25" s="144"/>
      <c r="D25" s="54">
        <v>6</v>
      </c>
      <c r="E25" s="55">
        <f t="shared" ref="E25:G25" si="11">IF(OR($D25&gt;$L$4,E$2&gt;$L$4),"",IF(IF(E$2&lt;=$L$7,IF(E$2&gt;$D25,0,1),($D25-$L$7)/($L$4-$L$7))&lt;=0,0,IF(E$2&lt;=$L$7,1,($D25-$L$7)/($L$4-$L$7))))</f>
        <v>1</v>
      </c>
      <c r="F25" s="55">
        <f t="shared" si="11"/>
        <v>1</v>
      </c>
      <c r="G25" s="55">
        <f t="shared" si="11"/>
        <v>1</v>
      </c>
      <c r="H25" s="55">
        <f>IF(OR($D25&gt;$L$4,H$2&gt;$L$4),"",IF(IF(H$2&lt;=$L$7,IF(H$2&gt;$D25,0,1),($D25-$L$7)/($L$4-$L$7))&lt;=0,0,IF(H$2&lt;=$L$7,1,($D25-$L$7)/($L$4-$L$7))))</f>
        <v>1</v>
      </c>
      <c r="I25" s="55">
        <f t="shared" ref="I25:K25" si="12">IF(OR($D25&gt;$L$4,I$2&gt;$L$4),"",IF(IF(I$2&lt;=$L$7,IF(I$2&gt;$D25,0,1),($D25-$L$7)/($L$4-$L$7))&lt;=0,0,IF(I$2&lt;=$L$7,1,($D25-$L$7)/($L$4-$L$7))))</f>
        <v>1</v>
      </c>
      <c r="J25" s="55">
        <f t="shared" si="12"/>
        <v>1</v>
      </c>
      <c r="K25" s="55" t="str">
        <f t="shared" si="12"/>
        <v/>
      </c>
      <c r="L25" s="56" t="str">
        <f t="array" ref="L25">IF(D25&lt;=SUM(IF($E$4:$K$4="",0,1)),D25&amp;"節重心(d"&amp;D25&amp;")","")</f>
        <v>6節重心(d6)</v>
      </c>
      <c r="AJ25" s="24"/>
      <c r="AK25" s="24"/>
      <c r="AL25" s="24"/>
      <c r="AM25" s="24"/>
      <c r="AN25" s="24"/>
      <c r="AO25" s="24"/>
    </row>
    <row r="26" spans="1:41" ht="21.75" customHeight="1" x14ac:dyDescent="0.25">
      <c r="A26" s="133" t="s">
        <v>65</v>
      </c>
      <c r="B26" s="134"/>
      <c r="C26" s="134"/>
      <c r="D26" s="32">
        <v>6</v>
      </c>
      <c r="E26" s="12">
        <f>IF(E25="","",$E$4/2)</f>
        <v>196.5</v>
      </c>
      <c r="F26" s="7">
        <f>IF(F25="","",SUM($E$4:$F$4*E25:F25)-F$4/2)</f>
        <v>120</v>
      </c>
      <c r="G26" s="7">
        <f t="array" ref="G26">IF(G25="","",SUM($E$4:$G$4*E25:G25)-G$4/2)</f>
        <v>752.5</v>
      </c>
      <c r="H26" s="7">
        <f t="array" ref="H26">IF(H25="","",SUM($E$4:$H$4*E25:H25)-H$4/2)</f>
        <v>988.5</v>
      </c>
      <c r="I26" s="7">
        <f t="array" ref="I26">IF(I25="","",SUM($E$4:$I$4*E25:I25)-I$4/2)</f>
        <v>1221.5</v>
      </c>
      <c r="J26" s="7">
        <f t="array" ref="J26">IF(J25="","",SUM($E$4:$J$4*E25:J25)-J$4/2)</f>
        <v>1454.5</v>
      </c>
      <c r="K26" s="7" t="str">
        <f t="array" ref="K26">IF(K25="","",SUM($E$4:$K$4*E25:K25)-K$4/2)</f>
        <v/>
      </c>
      <c r="L26" s="139">
        <f t="array" ref="L26">IF(D26&gt;SUM(IF($E$4:$K$4="",0,1)),"",(SUM(IF(E26:K26="",0,E26:K26)*IF($E$5:$K$5="",0,$E$5:$K$5))+SUM(IF($E$7:$J$8="",0,$E$7:$J$8)*IF(E27:J27="",0,E27:J27)))/($L$5+$L$8))</f>
        <v>597.19619619619618</v>
      </c>
    </row>
    <row r="27" spans="1:41" s="13" customFormat="1" ht="21.75" customHeight="1" thickBot="1" x14ac:dyDescent="0.3">
      <c r="A27" s="137" t="s">
        <v>66</v>
      </c>
      <c r="B27" s="138"/>
      <c r="C27" s="138"/>
      <c r="D27" s="57">
        <v>6</v>
      </c>
      <c r="E27" s="58">
        <f t="array" ref="E27">IF(OR(E$7="",E25=""),"",(SUM(IF($E$4:$E$4="",0,$E$4:$E$4)*E25:E25)-E$4+SUM(IF($E$4:$F$4="",0,$E$4:$F$4)*E25:F25))/2)</f>
        <v>316.5</v>
      </c>
      <c r="F27" s="58">
        <f t="array" ref="F27">IF(OR(F$7="",F25=""),"",(SUM(IF($E$4:$F$4="",0,$E$4:$F$4)*E25:F25)-F$4+SUM(IF($E$4:$G$4="",0,$E$4:$G$4)*E25:G25))/2)</f>
        <v>632.5</v>
      </c>
      <c r="G27" s="58">
        <f t="array" ref="G27">IF(OR(G$7="",G25=""),"",(SUM(IF($E$4:$G$4="",0,$E$4:$G$4)*E25:G25)-G$4+SUM(IF($E$4:$H$4="",0,$E$4:$H$4)*E25:H25))/2)</f>
        <v>869</v>
      </c>
      <c r="H27" s="58" t="str">
        <f t="array" ref="H27">IF(OR(H$7="",H25=""),"",(SUM(IF($E$4:$H$4="",0,$E$4:$H$4)*E25:H25)-H$4+SUM(IF($E$4:$I$4="",0,$E$4:$I$4)*E25:I25))/2)</f>
        <v/>
      </c>
      <c r="I27" s="58" t="str">
        <f t="array" ref="I27">IF(OR(I$7="",I25=""),"",(SUM(IF($E$4:$I$4="",0,$E$4:$I$4)*E25:I25)-I$4+SUM(IF($E$4:$J$4="",0,$E$4:$J$4)*E25:J25))/2)</f>
        <v/>
      </c>
      <c r="J27" s="58" t="str">
        <f t="array" ref="J27">IF(OR(J$7="",J25=""),"",(SUM(IF($E$4:$J$4="",0,$E$4:$J$4)*E25:J25)-J$4+SUM(IF($E$4:$K$4="",0,$E$4:$K$4)*E25:K25))/2)</f>
        <v/>
      </c>
      <c r="K27" s="59"/>
      <c r="L27" s="140"/>
      <c r="AJ27" s="24"/>
      <c r="AK27" s="24"/>
      <c r="AL27" s="24"/>
      <c r="AM27" s="24"/>
      <c r="AN27" s="24"/>
      <c r="AO27" s="24"/>
    </row>
    <row r="28" spans="1:41" ht="21.75" customHeight="1" x14ac:dyDescent="0.25">
      <c r="A28" s="135" t="s">
        <v>67</v>
      </c>
      <c r="B28" s="136"/>
      <c r="C28" s="136"/>
      <c r="D28" s="51">
        <v>7</v>
      </c>
      <c r="E28" s="52" t="str">
        <f t="shared" ref="E28:G28" si="13">IF(OR($D28&gt;$L$4,E$2&gt;$L$4),"",IF(IF(E$2&lt;=$L$7,IF(E$2&gt;$D28,0,1),($D28-$L$7)/($L$4-$L$7))&lt;=0,0,IF(E$2&lt;=$L$7,1,($D28-$L$7)/($L$4-$L$7))))</f>
        <v/>
      </c>
      <c r="F28" s="52" t="str">
        <f t="shared" si="13"/>
        <v/>
      </c>
      <c r="G28" s="52" t="str">
        <f t="shared" si="13"/>
        <v/>
      </c>
      <c r="H28" s="52" t="str">
        <f>IF(OR($D28&gt;$L$4,H$2&gt;$L$4),"",IF(IF(H$2&lt;=$L$7,IF(H$2&gt;$D28,0,1),($D28-$L$7)/($L$4-$L$7))&lt;=0,0,IF(H$2&lt;=$L$7,1,($D28-$L$7)/($L$4-$L$7))))</f>
        <v/>
      </c>
      <c r="I28" s="52" t="str">
        <f t="shared" ref="I28:K28" si="14">IF(OR($D28&gt;$L$4,I$2&gt;$L$4),"",IF(IF(I$2&lt;=$L$7,IF(I$2&gt;$D28,0,1),($D28-$L$7)/($L$4-$L$7))&lt;=0,0,IF(I$2&lt;=$L$7,1,($D28-$L$7)/($L$4-$L$7))))</f>
        <v/>
      </c>
      <c r="J28" s="52" t="str">
        <f t="shared" si="14"/>
        <v/>
      </c>
      <c r="K28" s="52" t="str">
        <f t="shared" si="14"/>
        <v/>
      </c>
      <c r="L28" s="53" t="str">
        <f t="array" ref="L28">IF(D28&lt;=SUM(IF($E$4:$K$4="",0,1)),D28&amp;"節重心(d"&amp;D28&amp;")","")</f>
        <v/>
      </c>
    </row>
    <row r="29" spans="1:41" ht="21.75" customHeight="1" x14ac:dyDescent="0.25">
      <c r="A29" s="133" t="s">
        <v>65</v>
      </c>
      <c r="B29" s="134"/>
      <c r="C29" s="134"/>
      <c r="D29" s="32">
        <v>7</v>
      </c>
      <c r="E29" s="12" t="str">
        <f>IF(E28="","",$E$4/2)</f>
        <v/>
      </c>
      <c r="F29" s="7" t="str">
        <f t="array" ref="F29">IF(F28="","",SUM($E$4:$F$4*E28:F28)-F$4/2)</f>
        <v/>
      </c>
      <c r="G29" s="7" t="str">
        <f t="array" ref="G29">IF(G28="","",SUM($E$4:$G$4*E28:G28)-G$4/2)</f>
        <v/>
      </c>
      <c r="H29" s="7" t="str">
        <f t="array" ref="H29">IF(H28="","",SUM($E$4:$H$4*E28:H28)-H$4/2)</f>
        <v/>
      </c>
      <c r="I29" s="7" t="str">
        <f t="array" ref="I29">IF(I28="","",SUM($E$4:$I$4*E28:I28)-I$4/2)</f>
        <v/>
      </c>
      <c r="J29" s="7" t="str">
        <f t="array" ref="J29">IF(J28="","",SUM($E$4:$J$4*E28:J28)-J$4/2)</f>
        <v/>
      </c>
      <c r="K29" s="7" t="str">
        <f t="array" ref="K29">IF(K28="","",SUM($E$4:$K$4*E28:K28)-K$4/2)</f>
        <v/>
      </c>
      <c r="L29" s="139" t="str">
        <f t="array" ref="L29">IF(D29&gt;SUM(IF($E$4:$K$4="",0,1)),"",(SUM(IF(E29:K29="",0,E29:K29)*IF($E$5:$K$5="",0,$E$5:$K$5))+SUM(IF($E$7:$J$8="",0,$E$7:$J$8)*IF(E30:J30="",0,E30:J30)))/($L$5+$L$8))</f>
        <v/>
      </c>
    </row>
    <row r="30" spans="1:41" ht="21.75" customHeight="1" thickBot="1" x14ac:dyDescent="0.3">
      <c r="A30" s="130" t="s">
        <v>66</v>
      </c>
      <c r="B30" s="131"/>
      <c r="C30" s="131"/>
      <c r="D30" s="33">
        <v>7</v>
      </c>
      <c r="E30" s="27" t="str">
        <f t="array" ref="E30">IF(OR(E$7="",E28=""),"",(SUM(IF($E$4:$E$4="",0,$E$4:$E$4)*E28:E28)-E$4+SUM(IF($E$4:$F$4="",0,$E$4:$F$4)*E28:F28))/2)</f>
        <v/>
      </c>
      <c r="F30" s="27" t="str">
        <f t="array" ref="F30">IF(OR(F$7="",F28=""),"",(SUM(IF($E$4:$F$4="",0,$E$4:$F$4)*E28:F28)-F$4+SUM(IF($E$4:$G$4="",0,$E$4:$G$4)*E28:G28))/2)</f>
        <v/>
      </c>
      <c r="G30" s="27" t="str">
        <f t="array" ref="G30">IF(OR(G$7="",G28=""),"",(SUM(IF($E$4:$G$4="",0,$E$4:$G$4)*E28:G28)-G$4+SUM(IF($E$4:$H$4="",0,$E$4:$H$4)*E28:H28))/2)</f>
        <v/>
      </c>
      <c r="H30" s="27" t="str">
        <f t="array" ref="H30">IF(OR(H$7="",H28=""),"",(SUM(IF($E$4:$H$4="",0,$E$4:$H$4)*E28:H28)-H$4+SUM(IF($E$4:$I$4="",0,$E$4:$I$4)*E28:I28))/2)</f>
        <v/>
      </c>
      <c r="I30" s="27" t="str">
        <f t="array" ref="I30">IF(OR(I$7="",I28=""),"",(SUM(IF($E$4:$I$4="",0,$E$4:$I$4)*E28:I28)-I$4+SUM(IF($E$4:$J$4="",0,$E$4:$J$4)*E28:J28))/2)</f>
        <v/>
      </c>
      <c r="J30" s="27" t="str">
        <f t="array" ref="J30">IF(OR(J$7="",J28=""),"",(SUM(IF($E$4:$J$4="",0,$E$4:$J$4)*E28:J28)-J$4+SUM(IF($E$4:$K$4="",0,$E$4:$K$4)*E28:K28))/2)</f>
        <v/>
      </c>
      <c r="K30" s="28"/>
      <c r="L30" s="147"/>
    </row>
    <row r="31" spans="1:41" ht="21.75" customHeight="1" thickTop="1" x14ac:dyDescent="0.6">
      <c r="L31" s="8"/>
    </row>
    <row r="32" spans="1:41" ht="21.75" customHeight="1" x14ac:dyDescent="0.25">
      <c r="A32" s="72" t="s">
        <v>124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</row>
    <row r="34" spans="1:14" s="36" customFormat="1" ht="21.75" customHeight="1" x14ac:dyDescent="0.25">
      <c r="A34" s="39" t="s">
        <v>72</v>
      </c>
      <c r="B34" s="38"/>
      <c r="C34" s="38"/>
      <c r="D34" s="38"/>
      <c r="F34" s="34"/>
      <c r="G34" s="35"/>
      <c r="H34" s="35"/>
      <c r="J34" s="37"/>
    </row>
    <row r="35" spans="1:14" s="36" customFormat="1" ht="21.75" customHeight="1" x14ac:dyDescent="0.25">
      <c r="A35" s="39"/>
      <c r="B35" s="38"/>
      <c r="C35" s="38"/>
      <c r="D35" s="38"/>
      <c r="F35" s="34"/>
      <c r="G35" s="35"/>
      <c r="H35" s="35"/>
      <c r="J35" s="37"/>
    </row>
    <row r="36" spans="1:14" ht="21.75" customHeight="1" x14ac:dyDescent="0.25">
      <c r="A36" s="119" t="s">
        <v>73</v>
      </c>
      <c r="B36" s="119"/>
      <c r="C36" s="119"/>
      <c r="D36" s="119"/>
      <c r="E36" s="129" t="s">
        <v>71</v>
      </c>
      <c r="F36" s="129"/>
      <c r="G36" s="129"/>
      <c r="H36" s="129"/>
      <c r="I36" s="129"/>
      <c r="J36" s="129"/>
      <c r="K36" s="129"/>
      <c r="L36" s="129"/>
      <c r="M36" s="129"/>
      <c r="N36" s="129"/>
    </row>
    <row r="37" spans="1:14" s="14" customFormat="1" ht="21.75" customHeight="1" x14ac:dyDescent="0.25">
      <c r="A37" s="119"/>
      <c r="B37" s="119"/>
      <c r="C37" s="119"/>
      <c r="D37" s="119"/>
      <c r="E37" s="117">
        <v>2</v>
      </c>
      <c r="F37" s="117"/>
      <c r="G37" s="117"/>
      <c r="H37" s="117"/>
      <c r="I37" s="117"/>
      <c r="J37" s="117"/>
      <c r="K37" s="117"/>
      <c r="L37" s="117"/>
      <c r="M37" s="117"/>
      <c r="N37" s="117"/>
    </row>
    <row r="38" spans="1:14" s="14" customFormat="1" ht="21.75" customHeight="1" x14ac:dyDescent="0.25"/>
    <row r="39" spans="1:14" ht="21.75" customHeight="1" x14ac:dyDescent="0.25">
      <c r="A39" s="111" t="s">
        <v>76</v>
      </c>
      <c r="B39" s="111"/>
      <c r="C39" s="111"/>
      <c r="D39" s="132" t="s">
        <v>74</v>
      </c>
      <c r="E39" s="132"/>
      <c r="F39" s="132"/>
      <c r="G39" s="132"/>
      <c r="H39" s="132"/>
      <c r="I39" s="132"/>
      <c r="J39" s="132"/>
      <c r="K39" s="132"/>
      <c r="L39" s="132"/>
      <c r="M39" s="132"/>
      <c r="N39" s="132"/>
    </row>
    <row r="40" spans="1:14" ht="21.75" customHeight="1" x14ac:dyDescent="0.25">
      <c r="A40" s="111"/>
      <c r="B40" s="111"/>
      <c r="C40" s="111"/>
      <c r="D40" s="117" t="s">
        <v>75</v>
      </c>
      <c r="E40" s="117"/>
      <c r="F40" s="117"/>
      <c r="G40" s="117"/>
      <c r="H40" s="117"/>
      <c r="I40" s="117"/>
      <c r="J40" s="117"/>
      <c r="K40" s="117"/>
      <c r="L40" s="117"/>
      <c r="M40" s="117"/>
      <c r="N40" s="117"/>
    </row>
  </sheetData>
  <sheetProtection password="E0D1" sheet="1" objects="1" scenarios="1"/>
  <mergeCells count="49">
    <mergeCell ref="L26:L27"/>
    <mergeCell ref="L29:L30"/>
    <mergeCell ref="A1:D2"/>
    <mergeCell ref="A6:D6"/>
    <mergeCell ref="L1:L2"/>
    <mergeCell ref="A4:D4"/>
    <mergeCell ref="A5:D5"/>
    <mergeCell ref="A3:D3"/>
    <mergeCell ref="K6:K8"/>
    <mergeCell ref="A9:K9"/>
    <mergeCell ref="A7:D8"/>
    <mergeCell ref="J7:J8"/>
    <mergeCell ref="A10:C10"/>
    <mergeCell ref="A11:C11"/>
    <mergeCell ref="E7:E8"/>
    <mergeCell ref="F7:F8"/>
    <mergeCell ref="G7:G8"/>
    <mergeCell ref="H7:H8"/>
    <mergeCell ref="I7:I8"/>
    <mergeCell ref="A25:C25"/>
    <mergeCell ref="A18:C18"/>
    <mergeCell ref="A24:C24"/>
    <mergeCell ref="L20:L21"/>
    <mergeCell ref="L23:L24"/>
    <mergeCell ref="A16:C16"/>
    <mergeCell ref="A12:C12"/>
    <mergeCell ref="A15:C15"/>
    <mergeCell ref="A22:C22"/>
    <mergeCell ref="A23:C23"/>
    <mergeCell ref="A17:C17"/>
    <mergeCell ref="A19:C19"/>
    <mergeCell ref="A20:C20"/>
    <mergeCell ref="A21:C21"/>
    <mergeCell ref="L11:L12"/>
    <mergeCell ref="L14:L15"/>
    <mergeCell ref="A13:C13"/>
    <mergeCell ref="A14:C14"/>
    <mergeCell ref="L17:L18"/>
    <mergeCell ref="A26:C26"/>
    <mergeCell ref="A28:C28"/>
    <mergeCell ref="A29:C29"/>
    <mergeCell ref="A27:C27"/>
    <mergeCell ref="A39:C40"/>
    <mergeCell ref="A36:D37"/>
    <mergeCell ref="E36:N36"/>
    <mergeCell ref="E37:N37"/>
    <mergeCell ref="A30:C30"/>
    <mergeCell ref="D40:N40"/>
    <mergeCell ref="D39:N39"/>
  </mergeCells>
  <phoneticPr fontId="1" type="noConversion"/>
  <pageMargins left="0.31496062992125984" right="0.31496062992125984" top="0.59055118110236227" bottom="0.59055118110236227" header="0.31496062992125984" footer="0.31496062992125984"/>
  <pageSetup paperSize="9" scale="85" orientation="portrait" r:id="rId1"/>
  <headerFooter>
    <oddHeader>&amp;L&amp;"微軟正黑體,粗體"&amp;14附件1 伸臂重心計算</oddHeader>
    <oddFooter>&amp;C- 3 -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L52"/>
  <sheetViews>
    <sheetView showGridLines="0" topLeftCell="A28" zoomScale="85" zoomScaleNormal="85" zoomScaleSheetLayoutView="100" workbookViewId="0">
      <selection activeCell="I8" sqref="I8"/>
    </sheetView>
  </sheetViews>
  <sheetFormatPr defaultColWidth="8.625" defaultRowHeight="16.5" x14ac:dyDescent="0.25"/>
  <cols>
    <col min="1" max="4" width="5.375" customWidth="1"/>
    <col min="5" max="5" width="10.125" bestFit="1" customWidth="1"/>
    <col min="12" max="12" width="15.375" customWidth="1"/>
  </cols>
  <sheetData>
    <row r="1" spans="1:12" ht="17.25" thickTop="1" x14ac:dyDescent="0.25">
      <c r="A1" s="148"/>
      <c r="B1" s="149"/>
      <c r="C1" s="149"/>
      <c r="D1" s="149"/>
      <c r="E1" s="30" t="s">
        <v>58</v>
      </c>
      <c r="F1" s="30" t="s">
        <v>59</v>
      </c>
      <c r="G1" s="30" t="s">
        <v>60</v>
      </c>
      <c r="H1" s="30" t="s">
        <v>61</v>
      </c>
      <c r="I1" s="30" t="s">
        <v>62</v>
      </c>
      <c r="J1" s="30" t="s">
        <v>63</v>
      </c>
      <c r="K1" s="30" t="s">
        <v>64</v>
      </c>
      <c r="L1" s="152" t="s">
        <v>57</v>
      </c>
    </row>
    <row r="2" spans="1:12" x14ac:dyDescent="0.25">
      <c r="A2" s="150"/>
      <c r="B2" s="151"/>
      <c r="C2" s="151"/>
      <c r="D2" s="151"/>
      <c r="E2" s="11">
        <v>1</v>
      </c>
      <c r="F2" s="11">
        <v>2</v>
      </c>
      <c r="G2" s="11">
        <v>3</v>
      </c>
      <c r="H2" s="11">
        <v>4</v>
      </c>
      <c r="I2" s="11">
        <v>5</v>
      </c>
      <c r="J2" s="11">
        <v>6</v>
      </c>
      <c r="K2" s="11">
        <v>7</v>
      </c>
      <c r="L2" s="153"/>
    </row>
    <row r="3" spans="1:12" ht="17.25" thickBot="1" x14ac:dyDescent="0.3">
      <c r="A3" s="154" t="s">
        <v>69</v>
      </c>
      <c r="B3" s="155"/>
      <c r="C3" s="155"/>
      <c r="D3" s="155"/>
      <c r="E3" s="77">
        <f>IF('附件1 伸臂重心計算'!E5="","",'附件1 伸臂重心計算'!E5)</f>
        <v>278</v>
      </c>
      <c r="F3" s="77">
        <f>IF('附件1 伸臂重心計算'!F5="","",'附件1 伸臂重心計算'!F5)</f>
        <v>165</v>
      </c>
      <c r="G3" s="77">
        <f>IF('附件1 伸臂重心計算'!G5="","",'附件1 伸臂重心計算'!G5)</f>
        <v>136</v>
      </c>
      <c r="H3" s="77">
        <f>IF('附件1 伸臂重心計算'!H5="","",'附件1 伸臂重心計算'!H5)</f>
        <v>112</v>
      </c>
      <c r="I3" s="77">
        <f>IF('附件1 伸臂重心計算'!I5="","",'附件1 伸臂重心計算'!I5)</f>
        <v>98</v>
      </c>
      <c r="J3" s="77">
        <f>IF('附件1 伸臂重心計算'!J5="","",'附件1 伸臂重心計算'!J5)</f>
        <v>85</v>
      </c>
      <c r="K3" s="77" t="str">
        <f>IF('附件1 伸臂重心計算'!K5="","",'附件1 伸臂重心計算'!K5)</f>
        <v/>
      </c>
      <c r="L3" s="21">
        <f>SUM(E3:K3)</f>
        <v>874</v>
      </c>
    </row>
    <row r="4" spans="1:12" ht="17.25" thickTop="1" x14ac:dyDescent="0.25">
      <c r="A4" s="150"/>
      <c r="B4" s="151"/>
      <c r="C4" s="151"/>
      <c r="D4" s="151"/>
      <c r="E4" s="25">
        <v>1</v>
      </c>
      <c r="F4" s="25">
        <v>2</v>
      </c>
      <c r="G4" s="25">
        <v>3</v>
      </c>
      <c r="H4" s="25">
        <v>4</v>
      </c>
      <c r="I4" s="25">
        <v>5</v>
      </c>
      <c r="J4" s="25">
        <v>6</v>
      </c>
      <c r="K4" s="159"/>
      <c r="L4" s="26" t="s">
        <v>57</v>
      </c>
    </row>
    <row r="5" spans="1:12" ht="17.25" thickBot="1" x14ac:dyDescent="0.3">
      <c r="A5" s="164" t="s">
        <v>70</v>
      </c>
      <c r="B5" s="117"/>
      <c r="C5" s="117"/>
      <c r="D5" s="165"/>
      <c r="E5" s="76">
        <f>IF('附件1 伸臂重心計算'!E7:E7="","",'附件1 伸臂重心計算'!E7:E7)</f>
        <v>57</v>
      </c>
      <c r="F5" s="76">
        <f>IF('附件1 伸臂重心計算'!F7:F7="","",'附件1 伸臂重心計算'!F7:F7)</f>
        <v>48</v>
      </c>
      <c r="G5" s="76">
        <f>IF('附件1 伸臂重心計算'!G7:G7="","",'附件1 伸臂重心計算'!G7:G7)</f>
        <v>20</v>
      </c>
      <c r="H5" s="76" t="str">
        <f>IF('附件1 伸臂重心計算'!H7:H7="","",'附件1 伸臂重心計算'!H7:H7)</f>
        <v/>
      </c>
      <c r="I5" s="76" t="str">
        <f>IF('附件1 伸臂重心計算'!I7:I7="","",'附件1 伸臂重心計算'!I7:I7)</f>
        <v/>
      </c>
      <c r="J5" s="76" t="str">
        <f>IF('附件1 伸臂重心計算'!J7:J7="","",'附件1 伸臂重心計算'!J7:J7)</f>
        <v/>
      </c>
      <c r="K5" s="160"/>
      <c r="L5" s="21">
        <f>SUM(E5:J5)</f>
        <v>125</v>
      </c>
    </row>
    <row r="6" spans="1:12" ht="17.25" customHeight="1" thickTop="1" x14ac:dyDescent="0.25">
      <c r="A6" s="181" t="s">
        <v>136</v>
      </c>
      <c r="B6" s="182"/>
      <c r="C6" s="182"/>
      <c r="D6" s="183"/>
      <c r="E6" s="30" t="s">
        <v>58</v>
      </c>
      <c r="F6" s="30" t="s">
        <v>59</v>
      </c>
      <c r="G6" s="30" t="s">
        <v>60</v>
      </c>
      <c r="H6" s="30" t="s">
        <v>61</v>
      </c>
      <c r="I6" s="30" t="s">
        <v>62</v>
      </c>
      <c r="J6" s="30" t="s">
        <v>63</v>
      </c>
      <c r="K6" s="30" t="s">
        <v>64</v>
      </c>
      <c r="L6" s="172" t="s">
        <v>126</v>
      </c>
    </row>
    <row r="7" spans="1:12" ht="17.25" thickBot="1" x14ac:dyDescent="0.3">
      <c r="A7" s="184"/>
      <c r="B7" s="185"/>
      <c r="C7" s="185"/>
      <c r="D7" s="186"/>
      <c r="E7" s="75">
        <v>1</v>
      </c>
      <c r="F7" s="75">
        <v>2</v>
      </c>
      <c r="G7" s="75">
        <v>3</v>
      </c>
      <c r="H7" s="75">
        <v>4</v>
      </c>
      <c r="I7" s="75">
        <v>5</v>
      </c>
      <c r="J7" s="75">
        <v>6</v>
      </c>
      <c r="K7" s="75">
        <v>7</v>
      </c>
      <c r="L7" s="169"/>
    </row>
    <row r="8" spans="1:12" ht="16.5" customHeight="1" x14ac:dyDescent="0.25">
      <c r="A8" s="187" t="s">
        <v>122</v>
      </c>
      <c r="B8" s="188"/>
      <c r="C8" s="188"/>
      <c r="D8" s="189"/>
      <c r="E8" s="67">
        <f t="array" ref="E8">IF(OR('附件1 伸臂重心計算'!E$3="",'附件1 伸臂重心計算'!$D10&gt;'附件1 伸臂重心計算'!$L$4),"",SUM(IF('附件1 伸臂重心計算'!$E10:E10="",0,'附件1 伸臂重心計算'!$E10:E10)*IF('附件1 伸臂重心計算'!$E$4:E$4="",0,'附件1 伸臂重心計算'!$E$4:E$4))-'附件1 伸臂重心計算'!E$4)</f>
        <v>0</v>
      </c>
      <c r="F8" s="67">
        <f t="array" ref="F8">IF(OR('附件1 伸臂重心計算'!F$3="",'附件1 伸臂重心計算'!$D10&gt;'附件1 伸臂重心計算'!$L$4),"",SUM(IF('附件1 伸臂重心計算'!$E10:F10="",0,'附件1 伸臂重心計算'!$E10:F10)*IF('附件1 伸臂重心計算'!$E$4:F$4="",0,'附件1 伸臂重心計算'!$E$4:F$4))-'附件1 伸臂重心計算'!F$4)</f>
        <v>153</v>
      </c>
      <c r="G8" s="67">
        <f t="array" ref="G8">IF(OR('附件1 伸臂重心計算'!G$3="",'附件1 伸臂重心計算'!$D10&gt;'附件1 伸臂重心計算'!$L$4),"",SUM(IF('附件1 伸臂重心計算'!$E10:G10="",0,'附件1 伸臂重心計算'!$E10:G10)*IF('附件1 伸臂重心計算'!$E$4:G$4="",0,'附件1 伸臂重心計算'!$E$4:G$4))-'附件1 伸臂重心計算'!G$4)</f>
        <v>154</v>
      </c>
      <c r="H8" s="67">
        <f t="array" ref="H8">IF(OR('附件1 伸臂重心計算'!H$3="",'附件1 伸臂重心計算'!$D10&gt;'附件1 伸臂重心計算'!$L$4),"",SUM(IF('附件1 伸臂重心計算'!$E10:H10="",0,'附件1 伸臂重心計算'!$E10:H10)*IF('附件1 伸臂重心計算'!$E$4:H$4="",0,'附件1 伸臂重心計算'!$E$4:H$4))-'附件1 伸臂重心計算'!H$4)</f>
        <v>160</v>
      </c>
      <c r="I8" s="67">
        <f t="array" ref="I8">IF(OR('附件1 伸臂重心計算'!I$3="",'附件1 伸臂重心計算'!$D10&gt;'附件1 伸臂重心計算'!$L$4),"",SUM(IF('附件1 伸臂重心計算'!$E10:I10="",0,'附件1 伸臂重心計算'!$E10:I10)*IF('附件1 伸臂重心計算'!$E$4:I$4="",0,'附件1 伸臂重心計算'!$E$4:I$4))-'附件1 伸臂重心計算'!I$4)</f>
        <v>160</v>
      </c>
      <c r="J8" s="67">
        <f t="array" ref="J8">IF(OR('附件1 伸臂重心計算'!J$3="",'附件1 伸臂重心計算'!$D10&gt;'附件1 伸臂重心計算'!$L$4),"",SUM(IF('附件1 伸臂重心計算'!$E10:J10="",0,'附件1 伸臂重心計算'!$E10:J10)*IF('附件1 伸臂重心計算'!$E$4:J$4="",0,'附件1 伸臂重心計算'!$E$4:J$4))-'附件1 伸臂重心計算'!J$4)</f>
        <v>160</v>
      </c>
      <c r="K8" s="67" t="str">
        <f t="array" ref="K8">IF(OR('附件1 伸臂重心計算'!K$3="",'附件1 伸臂重心計算'!$D10&gt;'附件1 伸臂重心計算'!$L$4),"",SUM(IF('附件1 伸臂重心計算'!$E10:K10="",0,'附件1 伸臂重心計算'!$E10:K10)*IF('附件1 伸臂重心計算'!$E$4:K$4="",0,'附件1 伸臂重心計算'!$E$4:K$4))-'附件1 伸臂重心計算'!K$4)</f>
        <v/>
      </c>
      <c r="L8" s="171" t="str">
        <f>IF('附件1 伸臂重心計算'!D10&lt;='附件1 伸臂重心計算'!$L$4,'附件1 伸臂重心計算'!D10&amp;"節時前端等價質量","")</f>
        <v>1節時前端等價質量</v>
      </c>
    </row>
    <row r="9" spans="1:12" x14ac:dyDescent="0.25">
      <c r="A9" s="156" t="s">
        <v>123</v>
      </c>
      <c r="B9" s="157"/>
      <c r="C9" s="157"/>
      <c r="D9" s="158"/>
      <c r="E9" s="9">
        <f t="array" ref="E9">IF(OR('附件1 伸臂重心計算'!E$3="",'附件1 伸臂重心計算'!$D10&gt;'附件1 伸臂重心計算'!$L$4),"",SUM(IF('附件1 伸臂重心計算'!$E10:E10="",0,'附件1 伸臂重心計算'!$E10:E10)*IF('附件1 伸臂重心計算'!$E$4:E$4="",0,'附件1 伸臂重心計算'!$E$4:E$4)))</f>
        <v>393</v>
      </c>
      <c r="F9" s="9">
        <f t="array" ref="F9">IF(OR('附件1 伸臂重心計算'!F$3="",'附件1 伸臂重心計算'!$D10&gt;'附件1 伸臂重心計算'!$L$4),"",SUM(IF('附件1 伸臂重心計算'!$E10:F10="",0,'附件1 伸臂重心計算'!$E10:F10)*IF('附件1 伸臂重心計算'!$E$4:F$4="",0,'附件1 伸臂重心計算'!$E$4:F$4)))</f>
        <v>393</v>
      </c>
      <c r="G9" s="9">
        <f t="array" ref="G9">IF(OR('附件1 伸臂重心計算'!G$3="",'附件1 伸臂重心計算'!$D10&gt;'附件1 伸臂重心計算'!$L$4),"",SUM(IF('附件1 伸臂重心計算'!$E10:G10="",0,'附件1 伸臂重心計算'!$E10:G10)*IF('附件1 伸臂重心計算'!$E$4:G$4="",0,'附件1 伸臂重心計算'!$E$4:G$4)))</f>
        <v>393</v>
      </c>
      <c r="H9" s="9">
        <f t="array" ref="H9">IF(OR('附件1 伸臂重心計算'!H$3="",'附件1 伸臂重心計算'!$D10&gt;'附件1 伸臂重心計算'!$L$4),"",SUM(IF('附件1 伸臂重心計算'!$E10:H10="",0,'附件1 伸臂重心計算'!$E10:H10)*IF('附件1 伸臂重心計算'!$E$4:H$4="",0,'附件1 伸臂重心計算'!$E$4:H$4)))</f>
        <v>393</v>
      </c>
      <c r="I9" s="9">
        <f t="array" ref="I9">IF(OR('附件1 伸臂重心計算'!I$3="",'附件1 伸臂重心計算'!$D10&gt;'附件1 伸臂重心計算'!$L$4),"",SUM(IF('附件1 伸臂重心計算'!$E10:I10="",0,'附件1 伸臂重心計算'!$E10:I10)*IF('附件1 伸臂重心計算'!$E$4:I$4="",0,'附件1 伸臂重心計算'!$E$4:I$4)))</f>
        <v>393</v>
      </c>
      <c r="J9" s="9">
        <f t="array" ref="J9">IF(OR('附件1 伸臂重心計算'!J$3="",'附件1 伸臂重心計算'!$D10&gt;'附件1 伸臂重心計算'!$L$4),"",SUM(IF('附件1 伸臂重心計算'!$E10:J10="",0,'附件1 伸臂重心計算'!$E10:J10)*IF('附件1 伸臂重心計算'!$E$4:J$4="",0,'附件1 伸臂重心計算'!$E$4:J$4)))</f>
        <v>393</v>
      </c>
      <c r="K9" s="9" t="str">
        <f t="array" ref="K9">IF(OR('附件1 伸臂重心計算'!K$3="",'附件1 伸臂重心計算'!$D10&gt;'附件1 伸臂重心計算'!$L$4),"",SUM(IF('附件1 伸臂重心計算'!$E10:K10="",0,'附件1 伸臂重心計算'!$E10:K10)*IF('附件1 伸臂重心計算'!$E$4:K$4="",0,'附件1 伸臂重心計算'!$E$4:K$4)))</f>
        <v/>
      </c>
      <c r="L9" s="170"/>
    </row>
    <row r="10" spans="1:12" ht="17.25" thickBot="1" x14ac:dyDescent="0.3">
      <c r="A10" s="190" t="s">
        <v>135</v>
      </c>
      <c r="B10" s="191"/>
      <c r="C10" s="191"/>
      <c r="D10" s="192"/>
      <c r="E10" s="68">
        <f>IF(E9="","",IF(E9&gt;='附件1 伸臂重心計算'!$L11,IF(E8&gt;'附件1 伸臂重心計算'!$L11,E9-E8,E9-'附件1 伸臂重心計算'!$L11),0))</f>
        <v>144.54154154154153</v>
      </c>
      <c r="F10" s="68">
        <f>IF(F9="","",IF(F9&gt;='附件1 伸臂重心計算'!$L11,IF(F8&gt;'附件1 伸臂重心計算'!$L11,F9-F8,F9-'附件1 伸臂重心計算'!$L11),0))</f>
        <v>144.54154154154153</v>
      </c>
      <c r="G10" s="68">
        <f>IF(G9="","",IF(G9&gt;='附件1 伸臂重心計算'!$L11,IF(G8&gt;'附件1 伸臂重心計算'!$L11,G9-G8,G9-'附件1 伸臂重心計算'!$L11),0))</f>
        <v>144.54154154154153</v>
      </c>
      <c r="H10" s="68">
        <f>IF(H9="","",IF(H9&gt;='附件1 伸臂重心計算'!$L11,IF(H8&gt;'附件1 伸臂重心計算'!$L11,H9-H8,H9-'附件1 伸臂重心計算'!$L11),0))</f>
        <v>144.54154154154153</v>
      </c>
      <c r="I10" s="68">
        <f>IF(I9="","",IF(I9&gt;='附件1 伸臂重心計算'!$L11,IF(I8&gt;'附件1 伸臂重心計算'!$L11,I9-I8,I9-'附件1 伸臂重心計算'!$L11),0))</f>
        <v>144.54154154154153</v>
      </c>
      <c r="J10" s="68">
        <f>IF(J9="","",IF(J9&gt;='附件1 伸臂重心計算'!$L11,IF(J8&gt;'附件1 伸臂重心計算'!$L11,J9-J8,J9-'附件1 伸臂重心計算'!$L11),0))</f>
        <v>144.54154154154153</v>
      </c>
      <c r="K10" s="68" t="str">
        <f>IF(K9="","",IF(K9&gt;='附件1 伸臂重心計算'!$L11,IF(K8&gt;'附件1 伸臂重心計算'!$L11,K9-K8,K9-'附件1 伸臂重心計算'!$L11),0))</f>
        <v/>
      </c>
      <c r="L10" s="71">
        <f t="array" ref="L10">SUM(IF(ISERROR(E10:J10/'附件1 伸臂重心計算'!$E$4:$J$4*'附件1 伸臂重心計算'!$E$5:$J$5),0,E10:J10/'附件1 伸臂重心計算'!$E$4:$J$4*'附件1 伸臂重心計算'!$E$5:$J$5))</f>
        <v>466.87079983165358</v>
      </c>
    </row>
    <row r="11" spans="1:12" ht="16.5" customHeight="1" x14ac:dyDescent="0.25">
      <c r="A11" s="187" t="s">
        <v>125</v>
      </c>
      <c r="B11" s="188"/>
      <c r="C11" s="188"/>
      <c r="D11" s="189"/>
      <c r="E11" s="67">
        <f t="array" ref="E11">IF(OR('附件1 伸臂重心計算'!E$3="",'附件1 伸臂重心計算'!$D13&gt;'附件1 伸臂重心計算'!$L$4),"",SUM(IF('附件1 伸臂重心計算'!$E13:E13="",0,'附件1 伸臂重心計算'!$E13:E13)*IF('附件1 伸臂重心計算'!$E$4:E$4="",0,'附件1 伸臂重心計算'!$E$4:E$4))-'附件1 伸臂重心計算'!E$4)</f>
        <v>0</v>
      </c>
      <c r="F11" s="67">
        <f t="array" ref="F11">IF(OR('附件1 伸臂重心計算'!F$3="",'附件1 伸臂重心計算'!$D13&gt;'附件1 伸臂重心計算'!$L$4),"",SUM(IF('附件1 伸臂重心計算'!$E13:F13="",0,'附件1 伸臂重心計算'!$E13:F13)*IF('附件1 伸臂重心計算'!$E$4:F$4="",0,'附件1 伸臂重心計算'!$E$4:F$4))-'附件1 伸臂重心計算'!F$4)</f>
        <v>393</v>
      </c>
      <c r="G11" s="67">
        <f t="array" ref="G11">IF(OR('附件1 伸臂重心計算'!G$3="",'附件1 伸臂重心計算'!$D13&gt;'附件1 伸臂重心計算'!$L$4),"",SUM(IF('附件1 伸臂重心計算'!$E13:G13="",0,'附件1 伸臂重心計算'!$E13:G13)*IF('附件1 伸臂重心計算'!$E$4:G$4="",0,'附件1 伸臂重心計算'!$E$4:G$4))-'附件1 伸臂重心計算'!G$4)</f>
        <v>394</v>
      </c>
      <c r="H11" s="67">
        <f t="array" ref="H11">IF(OR('附件1 伸臂重心計算'!H$3="",'附件1 伸臂重心計算'!$D13&gt;'附件1 伸臂重心計算'!$L$4),"",SUM(IF('附件1 伸臂重心計算'!$E13:H13="",0,'附件1 伸臂重心計算'!$E13:H13)*IF('附件1 伸臂重心計算'!$E$4:H$4="",0,'附件1 伸臂重心計算'!$E$4:H$4))-'附件1 伸臂重心計算'!H$4)</f>
        <v>400</v>
      </c>
      <c r="I11" s="67">
        <f t="array" ref="I11">IF(OR('附件1 伸臂重心計算'!I$3="",'附件1 伸臂重心計算'!$D13&gt;'附件1 伸臂重心計算'!$L$4),"",SUM(IF('附件1 伸臂重心計算'!$E13:I13="",0,'附件1 伸臂重心計算'!$E13:I13)*IF('附件1 伸臂重心計算'!$E$4:I$4="",0,'附件1 伸臂重心計算'!$E$4:I$4))-'附件1 伸臂重心計算'!I$4)</f>
        <v>400</v>
      </c>
      <c r="J11" s="67">
        <f t="array" ref="J11">IF(OR('附件1 伸臂重心計算'!J$3="",'附件1 伸臂重心計算'!$D13&gt;'附件1 伸臂重心計算'!$L$4),"",SUM(IF('附件1 伸臂重心計算'!$E13:J13="",0,'附件1 伸臂重心計算'!$E13:J13)*IF('附件1 伸臂重心計算'!$E$4:J$4="",0,'附件1 伸臂重心計算'!$E$4:J$4))-'附件1 伸臂重心計算'!J$4)</f>
        <v>400</v>
      </c>
      <c r="K11" s="67" t="str">
        <f t="array" ref="K11">IF(OR('附件1 伸臂重心計算'!K$3="",'附件1 伸臂重心計算'!$D13&gt;'附件1 伸臂重心計算'!$L$4),"",SUM(IF('附件1 伸臂重心計算'!$E13:K13="",0,'附件1 伸臂重心計算'!$E13:K13)*IF('附件1 伸臂重心計算'!$E$4:K$4="",0,'附件1 伸臂重心計算'!$E$4:K$4))-'附件1 伸臂重心計算'!K$4)</f>
        <v/>
      </c>
      <c r="L11" s="171" t="str">
        <f>IF('附件1 伸臂重心計算'!D13&lt;='附件1 伸臂重心計算'!$L$4,'附件1 伸臂重心計算'!D13&amp;"節時前端等價質量","")</f>
        <v>2節時前端等價質量</v>
      </c>
    </row>
    <row r="12" spans="1:12" x14ac:dyDescent="0.25">
      <c r="A12" s="156" t="s">
        <v>138</v>
      </c>
      <c r="B12" s="157"/>
      <c r="C12" s="157"/>
      <c r="D12" s="158"/>
      <c r="E12" s="9">
        <f t="array" ref="E12">IF(OR('附件1 伸臂重心計算'!E$3="",'附件1 伸臂重心計算'!$D13&gt;'附件1 伸臂重心計算'!$L$4),"",SUM(IF('附件1 伸臂重心計算'!$E13:E13="",0,'附件1 伸臂重心計算'!$E13:E13)*IF('附件1 伸臂重心計算'!$E$4:E$4="",0,'附件1 伸臂重心計算'!$E$4:E$4)))</f>
        <v>393</v>
      </c>
      <c r="F12" s="9">
        <f t="array" ref="F12">IF(OR('附件1 伸臂重心計算'!F$3="",'附件1 伸臂重心計算'!$D13&gt;'附件1 伸臂重心計算'!$L$4),"",SUM(IF('附件1 伸臂重心計算'!$E13:F13="",0,'附件1 伸臂重心計算'!$E13:F13)*IF('附件1 伸臂重心計算'!$E$4:F$4="",0,'附件1 伸臂重心計算'!$E$4:F$4)))</f>
        <v>633</v>
      </c>
      <c r="G12" s="9">
        <f t="array" ref="G12">IF(OR('附件1 伸臂重心計算'!G$3="",'附件1 伸臂重心計算'!$D13&gt;'附件1 伸臂重心計算'!$L$4),"",SUM(IF('附件1 伸臂重心計算'!$E13:G13="",0,'附件1 伸臂重心計算'!$E13:G13)*IF('附件1 伸臂重心計算'!$E$4:G$4="",0,'附件1 伸臂重心計算'!$E$4:G$4)))</f>
        <v>633</v>
      </c>
      <c r="H12" s="9">
        <f t="array" ref="H12">IF(OR('附件1 伸臂重心計算'!H$3="",'附件1 伸臂重心計算'!$D13&gt;'附件1 伸臂重心計算'!$L$4),"",SUM(IF('附件1 伸臂重心計算'!$E13:H13="",0,'附件1 伸臂重心計算'!$E13:H13)*IF('附件1 伸臂重心計算'!$E$4:H$4="",0,'附件1 伸臂重心計算'!$E$4:H$4)))</f>
        <v>633</v>
      </c>
      <c r="I12" s="9">
        <f t="array" ref="I12">IF(OR('附件1 伸臂重心計算'!I$3="",'附件1 伸臂重心計算'!$D13&gt;'附件1 伸臂重心計算'!$L$4),"",SUM(IF('附件1 伸臂重心計算'!$E13:I13="",0,'附件1 伸臂重心計算'!$E13:I13)*IF('附件1 伸臂重心計算'!$E$4:I$4="",0,'附件1 伸臂重心計算'!$E$4:I$4)))</f>
        <v>633</v>
      </c>
      <c r="J12" s="9">
        <f t="array" ref="J12">IF(OR('附件1 伸臂重心計算'!J$3="",'附件1 伸臂重心計算'!$D13&gt;'附件1 伸臂重心計算'!$L$4),"",SUM(IF('附件1 伸臂重心計算'!$E13:J13="",0,'附件1 伸臂重心計算'!$E13:J13)*IF('附件1 伸臂重心計算'!$E$4:J$4="",0,'附件1 伸臂重心計算'!$E$4:J$4)))</f>
        <v>633</v>
      </c>
      <c r="K12" s="9" t="str">
        <f t="array" ref="K12">IF(OR('附件1 伸臂重心計算'!K$3="",'附件1 伸臂重心計算'!$D13&gt;'附件1 伸臂重心計算'!$L$4),"",SUM(IF('附件1 伸臂重心計算'!$E13:K13="",0,'附件1 伸臂重心計算'!$E13:K13)*IF('附件1 伸臂重心計算'!$E$4:K$4="",0,'附件1 伸臂重心計算'!$E$4:K$4)))</f>
        <v/>
      </c>
      <c r="L12" s="170"/>
    </row>
    <row r="13" spans="1:12" ht="17.25" thickBot="1" x14ac:dyDescent="0.3">
      <c r="A13" s="193" t="s">
        <v>135</v>
      </c>
      <c r="B13" s="194"/>
      <c r="C13" s="194"/>
      <c r="D13" s="195"/>
      <c r="E13" s="68">
        <f>IF(E12="","",IF(E12&gt;='附件1 伸臂重心計算'!$L14,IF(E11&gt;'附件1 伸臂重心計算'!$L14,E12-E11,E12-'附件1 伸臂重心計算'!$L14),0))</f>
        <v>0</v>
      </c>
      <c r="F13" s="68">
        <f>IF(F12="","",IF(F12&gt;='附件1 伸臂重心計算'!$L14,IF(F11&gt;'附件1 伸臂重心計算'!$L14,F12-F11,F12-'附件1 伸臂重心計算'!$L14),0))</f>
        <v>218.17517517517518</v>
      </c>
      <c r="G13" s="68">
        <f>IF(G12="","",IF(G12&gt;='附件1 伸臂重心計算'!$L14,IF(G11&gt;'附件1 伸臂重心計算'!$L14,G12-G11,G12-'附件1 伸臂重心計算'!$L14),0))</f>
        <v>218.17517517517518</v>
      </c>
      <c r="H13" s="68">
        <f>IF(H12="","",IF(H12&gt;='附件1 伸臂重心計算'!$L14,IF(H11&gt;'附件1 伸臂重心計算'!$L14,H12-H11,H12-'附件1 伸臂重心計算'!$L14),0))</f>
        <v>218.17517517517518</v>
      </c>
      <c r="I13" s="68">
        <f>IF(I12="","",IF(I12&gt;='附件1 伸臂重心計算'!$L14,IF(I11&gt;'附件1 伸臂重心計算'!$L14,I12-I11,I12-'附件1 伸臂重心計算'!$L14),0))</f>
        <v>218.17517517517518</v>
      </c>
      <c r="J13" s="68">
        <f>IF(J12="","",IF(J12&gt;='附件1 伸臂重心計算'!$L14,IF(J11&gt;'附件1 伸臂重心計算'!$L14,J12-J11,J12-'附件1 伸臂重心計算'!$L14),0))</f>
        <v>218.17517517517518</v>
      </c>
      <c r="K13" s="68" t="str">
        <f>IF(K12="","",IF(K12&gt;='附件1 伸臂重心計算'!$L14,IF(K11&gt;'附件1 伸臂重心計算'!$L14,K12-K11,K12-'附件1 伸臂重心計算'!$L14),0))</f>
        <v/>
      </c>
      <c r="L13" s="71">
        <f t="array" ref="L13">SUM(IF(ISERROR(E13:J13/'附件1 伸臂重心計算'!$E$4:$J$4*'附件1 伸臂重心計算'!$E$5:$J$5),0,E13:J13/'附件1 伸臂重心計算'!$E$4:$J$4*'附件1 伸臂重心計算'!$E$5:$J$5))</f>
        <v>550.37569541208745</v>
      </c>
    </row>
    <row r="14" spans="1:12" ht="16.5" customHeight="1" x14ac:dyDescent="0.25">
      <c r="A14" s="196" t="s">
        <v>139</v>
      </c>
      <c r="B14" s="124"/>
      <c r="C14" s="124"/>
      <c r="D14" s="197"/>
      <c r="E14" s="74">
        <f t="array" ref="E14">IF(OR('附件1 伸臂重心計算'!E$3="",'附件1 伸臂重心計算'!$D16&gt;'附件1 伸臂重心計算'!$L$4),"",SUM(IF('附件1 伸臂重心計算'!$E16:E16="",0,'附件1 伸臂重心計算'!$E16:E16)*IF('附件1 伸臂重心計算'!$E$4:E$4="",0,'附件1 伸臂重心計算'!$E$4:E$4))-'附件1 伸臂重心計算'!E$4)</f>
        <v>0</v>
      </c>
      <c r="F14" s="74">
        <f t="array" ref="F14">IF(OR('附件1 伸臂重心計算'!F$3="",'附件1 伸臂重心計算'!$D16&gt;'附件1 伸臂重心計算'!$L$4),"",SUM(IF('附件1 伸臂重心計算'!$E16:F16="",0,'附件1 伸臂重心計算'!$E16:F16)*IF('附件1 伸臂重心計算'!$E$4:F$4="",0,'附件1 伸臂重心計算'!$E$4:F$4))-'附件1 伸臂重心計算'!F$4)</f>
        <v>393</v>
      </c>
      <c r="G14" s="74">
        <f t="array" ref="G14">IF(OR('附件1 伸臂重心計算'!G$3="",'附件1 伸臂重心計算'!$D16&gt;'附件1 伸臂重心計算'!$L$4),"",SUM(IF('附件1 伸臂重心計算'!$E16:G16="",0,'附件1 伸臂重心計算'!$E16:G16)*IF('附件1 伸臂重心計算'!$E$4:G$4="",0,'附件1 伸臂重心計算'!$E$4:G$4))-'附件1 伸臂重心計算'!G$4)</f>
        <v>633</v>
      </c>
      <c r="H14" s="74">
        <f t="array" ref="H14">IF(OR('附件1 伸臂重心計算'!H$3="",'附件1 伸臂重心計算'!$D16&gt;'附件1 伸臂重心計算'!$L$4),"",SUM(IF('附件1 伸臂重心計算'!$E16:H16="",0,'附件1 伸臂重心計算'!$E16:H16)*IF('附件1 伸臂重心計算'!$E$4:H$4="",0,'附件1 伸臂重心計算'!$E$4:H$4))-'附件1 伸臂重心計算'!H$4)</f>
        <v>639</v>
      </c>
      <c r="I14" s="74">
        <f t="array" ref="I14">IF(OR('附件1 伸臂重心計算'!I$3="",'附件1 伸臂重心計算'!$D16&gt;'附件1 伸臂重心計算'!$L$4),"",SUM(IF('附件1 伸臂重心計算'!$E16:I16="",0,'附件1 伸臂重心計算'!$E16:I16)*IF('附件1 伸臂重心計算'!$E$4:I$4="",0,'附件1 伸臂重心計算'!$E$4:I$4))-'附件1 伸臂重心計算'!I$4)</f>
        <v>639</v>
      </c>
      <c r="J14" s="74">
        <f t="array" ref="J14">IF(OR('附件1 伸臂重心計算'!J$3="",'附件1 伸臂重心計算'!$D16&gt;'附件1 伸臂重心計算'!$L$4),"",SUM(IF('附件1 伸臂重心計算'!$E16:J16="",0,'附件1 伸臂重心計算'!$E16:J16)*IF('附件1 伸臂重心計算'!$E$4:J$4="",0,'附件1 伸臂重心計算'!$E$4:J$4))-'附件1 伸臂重心計算'!J$4)</f>
        <v>639</v>
      </c>
      <c r="K14" s="74" t="str">
        <f t="array" ref="K14">IF(OR('附件1 伸臂重心計算'!K$3="",'附件1 伸臂重心計算'!$D16&gt;'附件1 伸臂重心計算'!$L$4),"",SUM(IF('附件1 伸臂重心計算'!$E16:K16="",0,'附件1 伸臂重心計算'!$E16:K16)*IF('附件1 伸臂重心計算'!$E$4:K$4="",0,'附件1 伸臂重心計算'!$E$4:K$4))-'附件1 伸臂重心計算'!K$4)</f>
        <v/>
      </c>
      <c r="L14" s="169" t="str">
        <f>IF('附件1 伸臂重心計算'!D16&lt;='附件1 伸臂重心計算'!$L$4,'附件1 伸臂重心計算'!D16&amp;"節時前端等價質量","")</f>
        <v>3節時前端等價質量</v>
      </c>
    </row>
    <row r="15" spans="1:12" x14ac:dyDescent="0.25">
      <c r="A15" s="133" t="s">
        <v>140</v>
      </c>
      <c r="B15" s="134"/>
      <c r="C15" s="134"/>
      <c r="D15" s="134"/>
      <c r="E15" s="9">
        <f t="array" ref="E15">IF(OR('附件1 伸臂重心計算'!E$3="",'附件1 伸臂重心計算'!$D16&gt;'附件1 伸臂重心計算'!$L$4),"",SUM(IF('附件1 伸臂重心計算'!$E16:E16="",0,'附件1 伸臂重心計算'!$E16:E16)*IF('附件1 伸臂重心計算'!$E$4:E$4="",0,'附件1 伸臂重心計算'!$E$4:E$4)))</f>
        <v>393</v>
      </c>
      <c r="F15" s="9">
        <f t="array" ref="F15">IF(OR('附件1 伸臂重心計算'!F$3="",'附件1 伸臂重心計算'!$D16&gt;'附件1 伸臂重心計算'!$L$4),"",SUM(IF('附件1 伸臂重心計算'!$E16:F16="",0,'附件1 伸臂重心計算'!$E16:F16)*IF('附件1 伸臂重心計算'!$E$4:F$4="",0,'附件1 伸臂重心計算'!$E$4:F$4)))</f>
        <v>633</v>
      </c>
      <c r="G15" s="9">
        <f t="array" ref="G15">IF(OR('附件1 伸臂重心計算'!G$3="",'附件1 伸臂重心計算'!$D16&gt;'附件1 伸臂重心計算'!$L$4),"",SUM(IF('附件1 伸臂重心計算'!$E16:G16="",0,'附件1 伸臂重心計算'!$E16:G16)*IF('附件1 伸臂重心計算'!$E$4:G$4="",0,'附件1 伸臂重心計算'!$E$4:G$4)))</f>
        <v>872</v>
      </c>
      <c r="H15" s="9">
        <f t="array" ref="H15">IF(OR('附件1 伸臂重心計算'!H$3="",'附件1 伸臂重心計算'!$D16&gt;'附件1 伸臂重心計算'!$L$4),"",SUM(IF('附件1 伸臂重心計算'!$E16:H16="",0,'附件1 伸臂重心計算'!$E16:H16)*IF('附件1 伸臂重心計算'!$E$4:H$4="",0,'附件1 伸臂重心計算'!$E$4:H$4)))</f>
        <v>872</v>
      </c>
      <c r="I15" s="9">
        <f t="array" ref="I15">IF(OR('附件1 伸臂重心計算'!I$3="",'附件1 伸臂重心計算'!$D16&gt;'附件1 伸臂重心計算'!$L$4),"",SUM(IF('附件1 伸臂重心計算'!$E16:I16="",0,'附件1 伸臂重心計算'!$E16:I16)*IF('附件1 伸臂重心計算'!$E$4:I$4="",0,'附件1 伸臂重心計算'!$E$4:I$4)))</f>
        <v>872</v>
      </c>
      <c r="J15" s="9">
        <f t="array" ref="J15">IF(OR('附件1 伸臂重心計算'!J$3="",'附件1 伸臂重心計算'!$D16&gt;'附件1 伸臂重心計算'!$L$4),"",SUM(IF('附件1 伸臂重心計算'!$E16:J16="",0,'附件1 伸臂重心計算'!$E16:J16)*IF('附件1 伸臂重心計算'!$E$4:J$4="",0,'附件1 伸臂重心計算'!$E$4:J$4)))</f>
        <v>872</v>
      </c>
      <c r="K15" s="9" t="str">
        <f t="array" ref="K15">IF(OR('附件1 伸臂重心計算'!K$3="",'附件1 伸臂重心計算'!$D16&gt;'附件1 伸臂重心計算'!$L$4),"",SUM(IF('附件1 伸臂重心計算'!$E16:K16="",0,'附件1 伸臂重心計算'!$E16:K16)*IF('附件1 伸臂重心計算'!$E$4:K$4="",0,'附件1 伸臂重心計算'!$E$4:K$4)))</f>
        <v/>
      </c>
      <c r="L15" s="170"/>
    </row>
    <row r="16" spans="1:12" ht="17.25" thickBot="1" x14ac:dyDescent="0.3">
      <c r="A16" s="180" t="s">
        <v>135</v>
      </c>
      <c r="B16" s="179"/>
      <c r="C16" s="179"/>
      <c r="D16" s="179"/>
      <c r="E16" s="65">
        <f>IF(E15="","",IF(E15&gt;='附件1 伸臂重心計算'!$L17,IF(E14&gt;'附件1 伸臂重心計算'!$L17,E15-E14,E15-'附件1 伸臂重心計算'!$L17),0))</f>
        <v>0</v>
      </c>
      <c r="F16" s="65">
        <f>IF(F15="","",IF(F15&gt;='附件1 伸臂重心計算'!$L17,IF(F14&gt;'附件1 伸臂重心計算'!$L17,F15-F14,F15-'附件1 伸臂重心計算'!$L17),0))</f>
        <v>104.53653653653657</v>
      </c>
      <c r="G16" s="65">
        <f>IF(G15="","",IF(G15&gt;='附件1 伸臂重心計算'!$L17,IF(G14&gt;'附件1 伸臂重心計算'!$L17,G15-G14,G15-'附件1 伸臂重心計算'!$L17),0))</f>
        <v>239</v>
      </c>
      <c r="H16" s="65">
        <f>IF(H15="","",IF(H15&gt;='附件1 伸臂重心計算'!$L17,IF(H14&gt;'附件1 伸臂重心計算'!$L17,H15-H14,H15-'附件1 伸臂重心計算'!$L17),0))</f>
        <v>233</v>
      </c>
      <c r="I16" s="65">
        <f>IF(I15="","",IF(I15&gt;='附件1 伸臂重心計算'!$L17,IF(I14&gt;'附件1 伸臂重心計算'!$L17,I15-I14,I15-'附件1 伸臂重心計算'!$L17),0))</f>
        <v>233</v>
      </c>
      <c r="J16" s="65">
        <f>IF(J15="","",IF(J15&gt;='附件1 伸臂重心計算'!$L17,IF(J14&gt;'附件1 伸臂重心計算'!$L17,J15-J14,J15-'附件1 伸臂重心計算'!$L17),0))</f>
        <v>233</v>
      </c>
      <c r="K16" s="65" t="str">
        <f>IF(K15="","",IF(K15&gt;='附件1 伸臂重心計算'!$L17,IF(K14&gt;'附件1 伸臂重心計算'!$L17,K15-K14,K15-'附件1 伸臂重心計算'!$L17),0))</f>
        <v/>
      </c>
      <c r="L16" s="70">
        <f t="array" ref="L16">SUM(IF(ISERROR(E16:J16/'附件1 伸臂重心計算'!$E$4:$J$4*'附件1 伸臂重心計算'!$E$5:$J$5),0,E16:J16/'附件1 伸臂重心計算'!$E$4:$J$4*'附件1 伸臂重心計算'!$E$5:$J$5))</f>
        <v>502.8688688688689</v>
      </c>
    </row>
    <row r="17" spans="1:12" x14ac:dyDescent="0.25">
      <c r="A17" s="143" t="s">
        <v>141</v>
      </c>
      <c r="B17" s="144"/>
      <c r="C17" s="144"/>
      <c r="D17" s="144"/>
      <c r="E17" s="67">
        <f t="array" ref="E17">IF(OR('附件1 伸臂重心計算'!E$3="",'附件1 伸臂重心計算'!$D19&gt;'附件1 伸臂重心計算'!$L$4),"",SUM(IF('附件1 伸臂重心計算'!$E19:E19="",0,'附件1 伸臂重心計算'!$E19:E19)*IF('附件1 伸臂重心計算'!$E$4:E$4="",0,'附件1 伸臂重心計算'!$E$4:E$4))-'附件1 伸臂重心計算'!E$4)</f>
        <v>0</v>
      </c>
      <c r="F17" s="67">
        <f t="array" ref="F17">IF(OR('附件1 伸臂重心計算'!F$3="",'附件1 伸臂重心計算'!$D19&gt;'附件1 伸臂重心計算'!$L$4),"",SUM(IF('附件1 伸臂重心計算'!$E19:F19="",0,'附件1 伸臂重心計算'!$E19:F19)*IF('附件1 伸臂重心計算'!$E$4:F$4="",0,'附件1 伸臂重心計算'!$E$4:F$4))-'附件1 伸臂重心計算'!F$4)</f>
        <v>393</v>
      </c>
      <c r="G17" s="67">
        <f t="array" ref="G17">IF(OR('附件1 伸臂重心計算'!G$3="",'附件1 伸臂重心計算'!$D19&gt;'附件1 伸臂重心計算'!$L$4),"",SUM(IF('附件1 伸臂重心計算'!$E19:G19="",0,'附件1 伸臂重心計算'!$E19:G19)*IF('附件1 伸臂重心計算'!$E$4:G$4="",0,'附件1 伸臂重心計算'!$E$4:G$4))-'附件1 伸臂重心計算'!G$4)</f>
        <v>633</v>
      </c>
      <c r="H17" s="67">
        <f t="array" ref="H17">IF(OR('附件1 伸臂重心計算'!H$3="",'附件1 伸臂重心計算'!$D19&gt;'附件1 伸臂重心計算'!$L$4),"",SUM(IF('附件1 伸臂重心計算'!$E19:H19="",0,'附件1 伸臂重心計算'!$E19:H19)*IF('附件1 伸臂重心計算'!$E$4:H$4="",0,'附件1 伸臂重心計算'!$E$4:H$4))-'附件1 伸臂重心計算'!H$4)</f>
        <v>716.66666666666663</v>
      </c>
      <c r="I17" s="67">
        <f t="array" ref="I17">IF(OR('附件1 伸臂重心計算'!I$3="",'附件1 伸臂重心計算'!$D19&gt;'附件1 伸臂重心計算'!$L$4),"",SUM(IF('附件1 伸臂重心計算'!$E19:I19="",0,'附件1 伸臂重心計算'!$E19:I19)*IF('附件1 伸臂重心計算'!$E$4:I$4="",0,'附件1 伸臂重心計算'!$E$4:I$4))-'附件1 伸臂重心計算'!I$4)</f>
        <v>794.33333333333326</v>
      </c>
      <c r="J17" s="67">
        <f t="array" ref="J17">IF(OR('附件1 伸臂重心計算'!J$3="",'附件1 伸臂重心計算'!$D19&gt;'附件1 伸臂重心計算'!$L$4),"",SUM(IF('附件1 伸臂重心計算'!$E19:J19="",0,'附件1 伸臂重心計算'!$E19:J19)*IF('附件1 伸臂重心計算'!$E$4:J$4="",0,'附件1 伸臂重心計算'!$E$4:J$4))-'附件1 伸臂重心計算'!J$4)</f>
        <v>872</v>
      </c>
      <c r="K17" s="67" t="str">
        <f t="array" ref="K17">IF(OR('附件1 伸臂重心計算'!K$3="",'附件1 伸臂重心計算'!$D19&gt;'附件1 伸臂重心計算'!$L$4),"",SUM(IF('附件1 伸臂重心計算'!$E19:K19="",0,'附件1 伸臂重心計算'!$E19:K19)*IF('附件1 伸臂重心計算'!$E$4:K$4="",0,'附件1 伸臂重心計算'!$E$4:K$4))-'附件1 伸臂重心計算'!K$4)</f>
        <v/>
      </c>
      <c r="L17" s="177" t="str">
        <f>IF('附件1 伸臂重心計算'!D19&lt;='附件1 伸臂重心計算'!$L$4,'附件1 伸臂重心計算'!D19&amp;"節時前端等價質量","")</f>
        <v>4節時前端等價質量</v>
      </c>
    </row>
    <row r="18" spans="1:12" x14ac:dyDescent="0.25">
      <c r="A18" s="133" t="s">
        <v>142</v>
      </c>
      <c r="B18" s="134"/>
      <c r="C18" s="134"/>
      <c r="D18" s="134"/>
      <c r="E18" s="9">
        <f t="array" ref="E18">IF(OR('附件1 伸臂重心計算'!E$3="",'附件1 伸臂重心計算'!$D19&gt;'附件1 伸臂重心計算'!$L$4),"",SUM(IF('附件1 伸臂重心計算'!$E19:E19="",0,'附件1 伸臂重心計算'!$E19:E19)*IF('附件1 伸臂重心計算'!$E$4:E$4="",0,'附件1 伸臂重心計算'!$E$4:E$4)))</f>
        <v>393</v>
      </c>
      <c r="F18" s="9">
        <f t="array" ref="F18">IF(OR('附件1 伸臂重心計算'!F$3="",'附件1 伸臂重心計算'!$D19&gt;'附件1 伸臂重心計算'!$L$4),"",SUM(IF('附件1 伸臂重心計算'!$E19:F19="",0,'附件1 伸臂重心計算'!$E19:F19)*IF('附件1 伸臂重心計算'!$E$4:F$4="",0,'附件1 伸臂重心計算'!$E$4:F$4)))</f>
        <v>633</v>
      </c>
      <c r="G18" s="9">
        <f t="array" ref="G18">IF(OR('附件1 伸臂重心計算'!G$3="",'附件1 伸臂重心計算'!$D19&gt;'附件1 伸臂重心計算'!$L$4),"",SUM(IF('附件1 伸臂重心計算'!$E19:G19="",0,'附件1 伸臂重心計算'!$E19:G19)*IF('附件1 伸臂重心計算'!$E$4:G$4="",0,'附件1 伸臂重心計算'!$E$4:G$4)))</f>
        <v>872</v>
      </c>
      <c r="H18" s="9">
        <f t="array" ref="H18">IF(OR('附件1 伸臂重心計算'!H$3="",'附件1 伸臂重心計算'!$D19&gt;'附件1 伸臂重心計算'!$L$4),"",SUM(IF('附件1 伸臂重心計算'!$E19:H19="",0,'附件1 伸臂重心計算'!$E19:H19)*IF('附件1 伸臂重心計算'!$E$4:H$4="",0,'附件1 伸臂重心計算'!$E$4:H$4)))</f>
        <v>949.66666666666663</v>
      </c>
      <c r="I18" s="9">
        <f t="array" ref="I18">IF(OR('附件1 伸臂重心計算'!I$3="",'附件1 伸臂重心計算'!$D19&gt;'附件1 伸臂重心計算'!$L$4),"",SUM(IF('附件1 伸臂重心計算'!$E19:I19="",0,'附件1 伸臂重心計算'!$E19:I19)*IF('附件1 伸臂重心計算'!$E$4:I$4="",0,'附件1 伸臂重心計算'!$E$4:I$4)))</f>
        <v>1027.3333333333333</v>
      </c>
      <c r="J18" s="9">
        <f t="array" ref="J18">IF(OR('附件1 伸臂重心計算'!J$3="",'附件1 伸臂重心計算'!$D19&gt;'附件1 伸臂重心計算'!$L$4),"",SUM(IF('附件1 伸臂重心計算'!$E19:J19="",0,'附件1 伸臂重心計算'!$E19:J19)*IF('附件1 伸臂重心計算'!$E$4:J$4="",0,'附件1 伸臂重心計算'!$E$4:J$4)))</f>
        <v>1105</v>
      </c>
      <c r="K18" s="9" t="str">
        <f t="array" ref="K18">IF(OR('附件1 伸臂重心計算'!K$3="",'附件1 伸臂重心計算'!$D19&gt;'附件1 伸臂重心計算'!$L$4),"",SUM(IF('附件1 伸臂重心計算'!$E19:K19="",0,'附件1 伸臂重心計算'!$E19:K19)*IF('附件1 伸臂重心計算'!$E$4:K$4="",0,'附件1 伸臂重心計算'!$E$4:K$4)))</f>
        <v/>
      </c>
      <c r="L18" s="178"/>
    </row>
    <row r="19" spans="1:12" ht="17.25" thickBot="1" x14ac:dyDescent="0.3">
      <c r="A19" s="173" t="s">
        <v>135</v>
      </c>
      <c r="B19" s="174"/>
      <c r="C19" s="174"/>
      <c r="D19" s="174"/>
      <c r="E19" s="68">
        <f>IF(E18="","",IF(E18&gt;='附件1 伸臂重心計算'!$L20,IF(E17&gt;'附件1 伸臂重心計算'!$L20,E18-E17,E18-'附件1 伸臂重心計算'!$L20),0))</f>
        <v>0</v>
      </c>
      <c r="F19" s="68">
        <f>IF(F18="","",IF(F18&gt;='附件1 伸臂重心計算'!$L20,IF(F17&gt;'附件1 伸臂重心計算'!$L20,F18-F17,F18-'附件1 伸臂重心計算'!$L20),0))</f>
        <v>59.988988988989149</v>
      </c>
      <c r="G19" s="68">
        <f>IF(G18="","",IF(G18&gt;='附件1 伸臂重心計算'!$L20,IF(G17&gt;'附件1 伸臂重心計算'!$L20,G18-G17,G18-'附件1 伸臂重心計算'!$L20),0))</f>
        <v>239</v>
      </c>
      <c r="H19" s="68">
        <f>IF(H18="","",IF(H18&gt;='附件1 伸臂重心計算'!$L20,IF(H17&gt;'附件1 伸臂重心計算'!$L20,H18-H17,H18-'附件1 伸臂重心計算'!$L20),0))</f>
        <v>233</v>
      </c>
      <c r="I19" s="68">
        <f>IF(I18="","",IF(I18&gt;='附件1 伸臂重心計算'!$L20,IF(I17&gt;'附件1 伸臂重心計算'!$L20,I18-I17,I18-'附件1 伸臂重心計算'!$L20),0))</f>
        <v>233</v>
      </c>
      <c r="J19" s="68">
        <f>IF(J18="","",IF(J18&gt;='附件1 伸臂重心計算'!$L20,IF(J17&gt;'附件1 伸臂重心計算'!$L20,J18-J17,J18-'附件1 伸臂重心計算'!$L20),0))</f>
        <v>233</v>
      </c>
      <c r="K19" s="68" t="str">
        <f>IF(K18="","",IF(K18&gt;='附件1 伸臂重心計算'!$L20,IF(K17&gt;'附件1 伸臂重心計算'!$L20,K18-K17,K18-'附件1 伸臂重心計算'!$L20),0))</f>
        <v/>
      </c>
      <c r="L19" s="71">
        <f t="array" ref="L19">SUM(IF(ISERROR(E19:J19/'附件1 伸臂重心計算'!$E$4:$J$4*'附件1 伸臂重心計算'!$E$5:$J$5),0,E19:J19/'附件1 伸臂重心計算'!$E$4:$J$4*'附件1 伸臂重心計算'!$E$5:$J$5))</f>
        <v>472.24242992993004</v>
      </c>
    </row>
    <row r="20" spans="1:12" x14ac:dyDescent="0.25">
      <c r="A20" s="135" t="s">
        <v>143</v>
      </c>
      <c r="B20" s="136"/>
      <c r="C20" s="136"/>
      <c r="D20" s="136"/>
      <c r="E20" s="74">
        <f t="array" ref="E20">IF(OR('附件1 伸臂重心計算'!E$3="",'附件1 伸臂重心計算'!$D22&gt;'附件1 伸臂重心計算'!$L$4),"",SUM(IF('附件1 伸臂重心計算'!$E22:E22="",0,'附件1 伸臂重心計算'!$E22:E22)*IF('附件1 伸臂重心計算'!$E$4:E$4="",0,'附件1 伸臂重心計算'!$E$4:E$4))-'附件1 伸臂重心計算'!E$4)</f>
        <v>0</v>
      </c>
      <c r="F20" s="74">
        <f t="array" ref="F20">IF(OR('附件1 伸臂重心計算'!F$3="",'附件1 伸臂重心計算'!$D22&gt;'附件1 伸臂重心計算'!$L$4),"",SUM(IF('附件1 伸臂重心計算'!$E22:F22="",0,'附件1 伸臂重心計算'!$E22:F22)*IF('附件1 伸臂重心計算'!$E$4:F$4="",0,'附件1 伸臂重心計算'!$E$4:F$4))-'附件1 伸臂重心計算'!F$4)</f>
        <v>393</v>
      </c>
      <c r="G20" s="74">
        <f t="array" ref="G20">IF(OR('附件1 伸臂重心計算'!G$3="",'附件1 伸臂重心計算'!$D22&gt;'附件1 伸臂重心計算'!$L$4),"",SUM(IF('附件1 伸臂重心計算'!$E22:G22="",0,'附件1 伸臂重心計算'!$E22:G22)*IF('附件1 伸臂重心計算'!$E$4:G$4="",0,'附件1 伸臂重心計算'!$E$4:G$4))-'附件1 伸臂重心計算'!G$4)</f>
        <v>633</v>
      </c>
      <c r="H20" s="74">
        <f t="array" ref="H20">IF(OR('附件1 伸臂重心計算'!H$3="",'附件1 伸臂重心計算'!$D22&gt;'附件1 伸臂重心計算'!$L$4),"",SUM(IF('附件1 伸臂重心計算'!$E22:H22="",0,'附件1 伸臂重心計算'!$E22:H22)*IF('附件1 伸臂重心計算'!$E$4:H$4="",0,'附件1 伸臂重心計算'!$E$4:H$4))-'附件1 伸臂重心計算'!H$4)</f>
        <v>794.33333333333326</v>
      </c>
      <c r="I20" s="74">
        <f t="array" ref="I20">IF(OR('附件1 伸臂重心計算'!I$3="",'附件1 伸臂重心計算'!$D22&gt;'附件1 伸臂重心計算'!$L$4),"",SUM(IF('附件1 伸臂重心計算'!$E22:I22="",0,'附件1 伸臂重心計算'!$E22:I22)*IF('附件1 伸臂重心計算'!$E$4:I$4="",0,'附件1 伸臂重心計算'!$E$4:I$4))-'附件1 伸臂重心計算'!I$4)</f>
        <v>949.66666666666652</v>
      </c>
      <c r="J20" s="74">
        <f t="array" ref="J20">IF(OR('附件1 伸臂重心計算'!J$3="",'附件1 伸臂重心計算'!$D22&gt;'附件1 伸臂重心計算'!$L$4),"",SUM(IF('附件1 伸臂重心計算'!$E22:J22="",0,'附件1 伸臂重心計算'!$E22:J22)*IF('附件1 伸臂重心計算'!$E$4:J$4="",0,'附件1 伸臂重心計算'!$E$4:J$4))-'附件1 伸臂重心計算'!J$4)</f>
        <v>1104.9999999999998</v>
      </c>
      <c r="K20" s="74" t="str">
        <f t="array" ref="K20">IF(OR('附件1 伸臂重心計算'!K$3="",'附件1 伸臂重心計算'!$D22&gt;'附件1 伸臂重心計算'!$L$4),"",SUM(IF('附件1 伸臂重心計算'!$E22:K22="",0,'附件1 伸臂重心計算'!$E22:K22)*IF('附件1 伸臂重心計算'!$E$4:K$4="",0,'附件1 伸臂重心計算'!$E$4:K$4))-'附件1 伸臂重心計算'!K$4)</f>
        <v/>
      </c>
      <c r="L20" s="170" t="str">
        <f>IF('附件1 伸臂重心計算'!D22&lt;='附件1 伸臂重心計算'!$L$4,'附件1 伸臂重心計算'!D22&amp;"節時前端等價質量","")</f>
        <v>5節時前端等價質量</v>
      </c>
    </row>
    <row r="21" spans="1:12" x14ac:dyDescent="0.25">
      <c r="A21" s="133" t="s">
        <v>144</v>
      </c>
      <c r="B21" s="134"/>
      <c r="C21" s="134"/>
      <c r="D21" s="134"/>
      <c r="E21" s="9">
        <f t="array" ref="E21">IF(OR('附件1 伸臂重心計算'!E$3="",'附件1 伸臂重心計算'!$D22&gt;'附件1 伸臂重心計算'!$L$4),"",SUM(IF('附件1 伸臂重心計算'!$E22:E22="",0,'附件1 伸臂重心計算'!$E22:E22)*IF('附件1 伸臂重心計算'!$E$4:E$4="",0,'附件1 伸臂重心計算'!$E$4:E$4)))</f>
        <v>393</v>
      </c>
      <c r="F21" s="9">
        <f t="array" ref="F21">IF(OR('附件1 伸臂重心計算'!F$3="",'附件1 伸臂重心計算'!$D22&gt;'附件1 伸臂重心計算'!$L$4),"",SUM(IF('附件1 伸臂重心計算'!$E22:F22="",0,'附件1 伸臂重心計算'!$E22:F22)*IF('附件1 伸臂重心計算'!$E$4:F$4="",0,'附件1 伸臂重心計算'!$E$4:F$4)))</f>
        <v>633</v>
      </c>
      <c r="G21" s="9">
        <f t="array" ref="G21">IF(OR('附件1 伸臂重心計算'!G$3="",'附件1 伸臂重心計算'!$D22&gt;'附件1 伸臂重心計算'!$L$4),"",SUM(IF('附件1 伸臂重心計算'!$E22:G22="",0,'附件1 伸臂重心計算'!$E22:G22)*IF('附件1 伸臂重心計算'!$E$4:G$4="",0,'附件1 伸臂重心計算'!$E$4:G$4)))</f>
        <v>872</v>
      </c>
      <c r="H21" s="9">
        <f t="array" ref="H21">IF(OR('附件1 伸臂重心計算'!H$3="",'附件1 伸臂重心計算'!$D22&gt;'附件1 伸臂重心計算'!$L$4),"",SUM(IF('附件1 伸臂重心計算'!$E22:H22="",0,'附件1 伸臂重心計算'!$E22:H22)*IF('附件1 伸臂重心計算'!$E$4:H$4="",0,'附件1 伸臂重心計算'!$E$4:H$4)))</f>
        <v>1027.3333333333333</v>
      </c>
      <c r="I21" s="9">
        <f t="array" ref="I21">IF(OR('附件1 伸臂重心計算'!I$3="",'附件1 伸臂重心計算'!$D22&gt;'附件1 伸臂重心計算'!$L$4),"",SUM(IF('附件1 伸臂重心計算'!$E22:I22="",0,'附件1 伸臂重心計算'!$E22:I22)*IF('附件1 伸臂重心計算'!$E$4:I$4="",0,'附件1 伸臂重心計算'!$E$4:I$4)))</f>
        <v>1182.6666666666665</v>
      </c>
      <c r="J21" s="9">
        <f t="array" ref="J21">IF(OR('附件1 伸臂重心計算'!J$3="",'附件1 伸臂重心計算'!$D22&gt;'附件1 伸臂重心計算'!$L$4),"",SUM(IF('附件1 伸臂重心計算'!$E22:J22="",0,'附件1 伸臂重心計算'!$E22:J22)*IF('附件1 伸臂重心計算'!$E$4:J$4="",0,'附件1 伸臂重心計算'!$E$4:J$4)))</f>
        <v>1337.9999999999998</v>
      </c>
      <c r="K21" s="9" t="str">
        <f t="array" ref="K21">IF(OR('附件1 伸臂重心計算'!K$3="",'附件1 伸臂重心計算'!$D22&gt;'附件1 伸臂重心計算'!$L$4),"",SUM(IF('附件1 伸臂重心計算'!$E22:K22="",0,'附件1 伸臂重心計算'!$E22:K22)*IF('附件1 伸臂重心計算'!$E$4:K$4="",0,'附件1 伸臂重心計算'!$E$4:K$4)))</f>
        <v/>
      </c>
      <c r="L21" s="178"/>
    </row>
    <row r="22" spans="1:12" ht="17.25" thickBot="1" x14ac:dyDescent="0.3">
      <c r="A22" s="180" t="s">
        <v>135</v>
      </c>
      <c r="B22" s="179"/>
      <c r="C22" s="179"/>
      <c r="D22" s="179"/>
      <c r="E22" s="65">
        <f>IF(E21="","",IF(E21&gt;='附件1 伸臂重心計算'!$L23,IF(E20&gt;'附件1 伸臂重心計算'!$L23,E21-E20,E21-'附件1 伸臂重心計算'!$L23),0))</f>
        <v>0</v>
      </c>
      <c r="F22" s="65">
        <f>IF(F21="","",IF(F21&gt;='附件1 伸臂重心計算'!$L23,IF(F20&gt;'附件1 伸臂重心計算'!$L23,F21-F20,F21-'附件1 伸臂重心計算'!$L23),0))</f>
        <v>15.441441441441498</v>
      </c>
      <c r="G22" s="65">
        <f>IF(G21="","",IF(G21&gt;='附件1 伸臂重心計算'!$L23,IF(G20&gt;'附件1 伸臂重心計算'!$L23,G21-G20,G21-'附件1 伸臂重心計算'!$L23),0))</f>
        <v>239</v>
      </c>
      <c r="H22" s="65">
        <f>IF(H21="","",IF(H21&gt;='附件1 伸臂重心計算'!$L23,IF(H20&gt;'附件1 伸臂重心計算'!$L23,H21-H20,H21-'附件1 伸臂重心計算'!$L23),0))</f>
        <v>233</v>
      </c>
      <c r="I22" s="65">
        <f>IF(I21="","",IF(I21&gt;='附件1 伸臂重心計算'!$L23,IF(I20&gt;'附件1 伸臂重心計算'!$L23,I21-I20,I21-'附件1 伸臂重心計算'!$L23),0))</f>
        <v>233</v>
      </c>
      <c r="J22" s="65">
        <f>IF(J21="","",IF(J21&gt;='附件1 伸臂重心計算'!$L23,IF(J20&gt;'附件1 伸臂重心計算'!$L23,J21-J20,J21-'附件1 伸臂重心計算'!$L23),0))</f>
        <v>233</v>
      </c>
      <c r="K22" s="65" t="str">
        <f>IF(K21="","",IF(K21&gt;='附件1 伸臂重心計算'!$L23,IF(K20&gt;'附件1 伸臂重心計算'!$L23,K21-K20,K21-'附件1 伸臂重心計算'!$L23),0))</f>
        <v/>
      </c>
      <c r="L22" s="70">
        <f t="array" ref="L22">SUM(IF(ISERROR(E22:J22/'附件1 伸臂重心計算'!$E$4:$J$4*'附件1 伸臂重心計算'!$E$5:$J$5),0,E22:J22/'附件1 伸臂重心計算'!$E$4:$J$4*'附件1 伸臂重心計算'!$E$5:$J$5))</f>
        <v>441.61599099099101</v>
      </c>
    </row>
    <row r="23" spans="1:12" x14ac:dyDescent="0.25">
      <c r="A23" s="143" t="s">
        <v>145</v>
      </c>
      <c r="B23" s="144"/>
      <c r="C23" s="144"/>
      <c r="D23" s="144"/>
      <c r="E23" s="67">
        <f t="array" ref="E23">IF(OR('附件1 伸臂重心計算'!E$3="",'附件1 伸臂重心計算'!$D25&gt;'附件1 伸臂重心計算'!$L$4),"",SUM(IF('附件1 伸臂重心計算'!$E25:E25="",0,'附件1 伸臂重心計算'!$E25:E25)*IF('附件1 伸臂重心計算'!$E$4:E$4="",0,'附件1 伸臂重心計算'!$E$4:E$4))-'附件1 伸臂重心計算'!E$4)</f>
        <v>0</v>
      </c>
      <c r="F23" s="67">
        <f t="array" ref="F23">IF(OR('附件1 伸臂重心計算'!F$3="",'附件1 伸臂重心計算'!$D25&gt;'附件1 伸臂重心計算'!$L$4),"",SUM(IF('附件1 伸臂重心計算'!$E25:F25="",0,'附件1 伸臂重心計算'!$E25:F25)*IF('附件1 伸臂重心計算'!$E$4:F$4="",0,'附件1 伸臂重心計算'!$E$4:F$4))-'附件1 伸臂重心計算'!F$4)</f>
        <v>393</v>
      </c>
      <c r="G23" s="67">
        <f t="array" ref="G23">IF(OR('附件1 伸臂重心計算'!G$3="",'附件1 伸臂重心計算'!$D25&gt;'附件1 伸臂重心計算'!$L$4),"",SUM(IF('附件1 伸臂重心計算'!$E25:G25="",0,'附件1 伸臂重心計算'!$E25:G25)*IF('附件1 伸臂重心計算'!$E$4:G$4="",0,'附件1 伸臂重心計算'!$E$4:G$4))-'附件1 伸臂重心計算'!G$4)</f>
        <v>633</v>
      </c>
      <c r="H23" s="67">
        <f t="array" ref="H23">IF(OR('附件1 伸臂重心計算'!H$3="",'附件1 伸臂重心計算'!$D25&gt;'附件1 伸臂重心計算'!$L$4),"",SUM(IF('附件1 伸臂重心計算'!$E25:H25="",0,'附件1 伸臂重心計算'!$E25:H25)*IF('附件1 伸臂重心計算'!$E$4:H$4="",0,'附件1 伸臂重心計算'!$E$4:H$4))-'附件1 伸臂重心計算'!H$4)</f>
        <v>872</v>
      </c>
      <c r="I23" s="67">
        <f t="array" ref="I23">IF(OR('附件1 伸臂重心計算'!I$3="",'附件1 伸臂重心計算'!$D25&gt;'附件1 伸臂重心計算'!$L$4),"",SUM(IF('附件1 伸臂重心計算'!$E25:I25="",0,'附件1 伸臂重心計算'!$E25:I25)*IF('附件1 伸臂重心計算'!$E$4:I$4="",0,'附件1 伸臂重心計算'!$E$4:I$4))-'附件1 伸臂重心計算'!I$4)</f>
        <v>1105</v>
      </c>
      <c r="J23" s="67">
        <f t="array" ref="J23">IF(OR('附件1 伸臂重心計算'!J$3="",'附件1 伸臂重心計算'!$D25&gt;'附件1 伸臂重心計算'!$L$4),"",SUM(IF('附件1 伸臂重心計算'!$E25:J25="",0,'附件1 伸臂重心計算'!$E25:J25)*IF('附件1 伸臂重心計算'!$E$4:J$4="",0,'附件1 伸臂重心計算'!$E$4:J$4))-'附件1 伸臂重心計算'!J$4)</f>
        <v>1338</v>
      </c>
      <c r="K23" s="67" t="str">
        <f t="array" ref="K23">IF(OR('附件1 伸臂重心計算'!K$3="",'附件1 伸臂重心計算'!$D25&gt;'附件1 伸臂重心計算'!$L$4),"",SUM(IF('附件1 伸臂重心計算'!$E25:K25="",0,'附件1 伸臂重心計算'!$E25:K25)*IF('附件1 伸臂重心計算'!$E$4:K$4="",0,'附件1 伸臂重心計算'!$E$4:K$4))-'附件1 伸臂重心計算'!K$4)</f>
        <v/>
      </c>
      <c r="L23" s="177" t="str">
        <f>IF('附件1 伸臂重心計算'!D25&lt;='附件1 伸臂重心計算'!$L$4,'附件1 伸臂重心計算'!D25&amp;"節時前端等價質量","")</f>
        <v>6節時前端等價質量</v>
      </c>
    </row>
    <row r="24" spans="1:12" x14ac:dyDescent="0.25">
      <c r="A24" s="133" t="s">
        <v>146</v>
      </c>
      <c r="B24" s="134"/>
      <c r="C24" s="134"/>
      <c r="D24" s="134"/>
      <c r="E24" s="9">
        <f t="array" ref="E24">IF(OR('附件1 伸臂重心計算'!E$3="",'附件1 伸臂重心計算'!$D25&gt;'附件1 伸臂重心計算'!$L$4),"",SUM(IF('附件1 伸臂重心計算'!$E25:E25="",0,'附件1 伸臂重心計算'!$E25:E25)*IF('附件1 伸臂重心計算'!$E$4:E$4="",0,'附件1 伸臂重心計算'!$E$4:E$4)))</f>
        <v>393</v>
      </c>
      <c r="F24" s="9">
        <f t="array" ref="F24">IF(OR('附件1 伸臂重心計算'!F$3="",'附件1 伸臂重心計算'!$D25&gt;'附件1 伸臂重心計算'!$L$4),"",SUM(IF('附件1 伸臂重心計算'!$E25:F25="",0,'附件1 伸臂重心計算'!$E25:F25)*IF('附件1 伸臂重心計算'!$E$4:F$4="",0,'附件1 伸臂重心計算'!$E$4:F$4)))</f>
        <v>633</v>
      </c>
      <c r="G24" s="9">
        <f t="array" ref="G24">IF(OR('附件1 伸臂重心計算'!G$3="",'附件1 伸臂重心計算'!$D25&gt;'附件1 伸臂重心計算'!$L$4),"",SUM(IF('附件1 伸臂重心計算'!$E25:G25="",0,'附件1 伸臂重心計算'!$E25:G25)*IF('附件1 伸臂重心計算'!$E$4:G$4="",0,'附件1 伸臂重心計算'!$E$4:G$4)))</f>
        <v>872</v>
      </c>
      <c r="H24" s="9">
        <f t="array" ref="H24">IF(OR('附件1 伸臂重心計算'!H$3="",'附件1 伸臂重心計算'!$D25&gt;'附件1 伸臂重心計算'!$L$4),"",SUM(IF('附件1 伸臂重心計算'!$E25:H25="",0,'附件1 伸臂重心計算'!$E25:H25)*IF('附件1 伸臂重心計算'!$E$4:H$4="",0,'附件1 伸臂重心計算'!$E$4:H$4)))</f>
        <v>1105</v>
      </c>
      <c r="I24" s="9">
        <f t="array" ref="I24">IF(OR('附件1 伸臂重心計算'!I$3="",'附件1 伸臂重心計算'!$D25&gt;'附件1 伸臂重心計算'!$L$4),"",SUM(IF('附件1 伸臂重心計算'!$E25:I25="",0,'附件1 伸臂重心計算'!$E25:I25)*IF('附件1 伸臂重心計算'!$E$4:I$4="",0,'附件1 伸臂重心計算'!$E$4:I$4)))</f>
        <v>1338</v>
      </c>
      <c r="J24" s="9">
        <f t="array" ref="J24">IF(OR('附件1 伸臂重心計算'!J$3="",'附件1 伸臂重心計算'!$D25&gt;'附件1 伸臂重心計算'!$L$4),"",SUM(IF('附件1 伸臂重心計算'!$E25:J25="",0,'附件1 伸臂重心計算'!$E25:J25)*IF('附件1 伸臂重心計算'!$E$4:J$4="",0,'附件1 伸臂重心計算'!$E$4:J$4)))</f>
        <v>1571</v>
      </c>
      <c r="K24" s="9" t="str">
        <f t="array" ref="K24">IF(OR('附件1 伸臂重心計算'!K$3="",'附件1 伸臂重心計算'!$D25&gt;'附件1 伸臂重心計算'!$L$4),"",SUM(IF('附件1 伸臂重心計算'!$E25:K25="",0,'附件1 伸臂重心計算'!$E25:K25)*IF('附件1 伸臂重心計算'!$E$4:K$4="",0,'附件1 伸臂重心計算'!$E$4:K$4)))</f>
        <v/>
      </c>
      <c r="L24" s="178"/>
    </row>
    <row r="25" spans="1:12" ht="17.25" thickBot="1" x14ac:dyDescent="0.3">
      <c r="A25" s="173" t="s">
        <v>135</v>
      </c>
      <c r="B25" s="174"/>
      <c r="C25" s="174"/>
      <c r="D25" s="174"/>
      <c r="E25" s="68">
        <f>IF(E24="","",IF(E24&gt;='附件1 伸臂重心計算'!$L26,IF(E23&gt;'附件1 伸臂重心計算'!$L26,E24-E23,E24-'附件1 伸臂重心計算'!$L26),0))</f>
        <v>0</v>
      </c>
      <c r="F25" s="68">
        <f>IF(F24="","",IF(F24&gt;='附件1 伸臂重心計算'!$L26,IF(F23&gt;'附件1 伸臂重心計算'!$L26,F24-F23,F24-'附件1 伸臂重心計算'!$L26),0))</f>
        <v>35.803803803803817</v>
      </c>
      <c r="G25" s="68">
        <f>IF(G24="","",IF(G24&gt;='附件1 伸臂重心計算'!$L26,IF(G23&gt;'附件1 伸臂重心計算'!$L26,G24-G23,G24-'附件1 伸臂重心計算'!$L26),0))</f>
        <v>239</v>
      </c>
      <c r="H25" s="68">
        <f>IF(H24="","",IF(H24&gt;='附件1 伸臂重心計算'!$L26,IF(H23&gt;'附件1 伸臂重心計算'!$L26,H24-H23,H24-'附件1 伸臂重心計算'!$L26),0))</f>
        <v>233</v>
      </c>
      <c r="I25" s="68">
        <f>IF(I24="","",IF(I24&gt;='附件1 伸臂重心計算'!$L26,IF(I23&gt;'附件1 伸臂重心計算'!$L26,I24-I23,I24-'附件1 伸臂重心計算'!$L26),0))</f>
        <v>233</v>
      </c>
      <c r="J25" s="68">
        <f>IF(J24="","",IF(J24&gt;='附件1 伸臂重心計算'!$L26,IF(J23&gt;'附件1 伸臂重心計算'!$L26,J24-J23,J24-'附件1 伸臂重心計算'!$L26),0))</f>
        <v>233</v>
      </c>
      <c r="K25" s="68" t="str">
        <f>IF(K24="","",IF(K24&gt;='附件1 伸臂重心計算'!$L26,IF(K23&gt;'附件1 伸臂重心計算'!$L26,K24-K23,K24-'附件1 伸臂重心計算'!$L26),0))</f>
        <v/>
      </c>
      <c r="L25" s="71">
        <f t="array" ref="L25">SUM(IF(ISERROR(E25:J25/'附件1 伸臂重心計算'!$E$4:$J$4*'附件1 伸臂重心計算'!$E$5:$J$5),0,E25:J25/'附件1 伸臂重心計算'!$E$4:$J$4*'附件1 伸臂重心計算'!$E$5:$J$5))</f>
        <v>455.61511511511515</v>
      </c>
    </row>
    <row r="26" spans="1:12" x14ac:dyDescent="0.25">
      <c r="A26" s="135" t="s">
        <v>147</v>
      </c>
      <c r="B26" s="136"/>
      <c r="C26" s="136"/>
      <c r="D26" s="136"/>
      <c r="E26" s="74" t="str">
        <f t="array" ref="E26">IF(OR('附件1 伸臂重心計算'!E$3="",'附件1 伸臂重心計算'!$D28&gt;'附件1 伸臂重心計算'!$L$4),"",SUM(IF('附件1 伸臂重心計算'!$E28:E28="",0,'附件1 伸臂重心計算'!$E28:E28)*IF('附件1 伸臂重心計算'!$E$4:E$4="",0,'附件1 伸臂重心計算'!$E$4:E$4))-'附件1 伸臂重心計算'!E$4)</f>
        <v/>
      </c>
      <c r="F26" s="74" t="str">
        <f t="array" ref="F26">IF(OR('附件1 伸臂重心計算'!F$3="",'附件1 伸臂重心計算'!$D28&gt;'附件1 伸臂重心計算'!$L$4),"",SUM(IF('附件1 伸臂重心計算'!$E28:F28="",0,'附件1 伸臂重心計算'!$E28:F28)*IF('附件1 伸臂重心計算'!$E$4:F$4="",0,'附件1 伸臂重心計算'!$E$4:F$4))-'附件1 伸臂重心計算'!F$4)</f>
        <v/>
      </c>
      <c r="G26" s="74" t="str">
        <f t="array" ref="G26">IF(OR('附件1 伸臂重心計算'!G$3="",'附件1 伸臂重心計算'!$D28&gt;'附件1 伸臂重心計算'!$L$4),"",SUM(IF('附件1 伸臂重心計算'!$E28:G28="",0,'附件1 伸臂重心計算'!$E28:G28)*IF('附件1 伸臂重心計算'!$E$4:G$4="",0,'附件1 伸臂重心計算'!$E$4:G$4))-'附件1 伸臂重心計算'!G$4)</f>
        <v/>
      </c>
      <c r="H26" s="74" t="str">
        <f t="array" ref="H26">IF(OR('附件1 伸臂重心計算'!H$3="",'附件1 伸臂重心計算'!$D28&gt;'附件1 伸臂重心計算'!$L$4),"",SUM(IF('附件1 伸臂重心計算'!$E28:H28="",0,'附件1 伸臂重心計算'!$E28:H28)*IF('附件1 伸臂重心計算'!$E$4:H$4="",0,'附件1 伸臂重心計算'!$E$4:H$4))-'附件1 伸臂重心計算'!H$4)</f>
        <v/>
      </c>
      <c r="I26" s="74" t="str">
        <f t="array" ref="I26">IF(OR('附件1 伸臂重心計算'!I$3="",'附件1 伸臂重心計算'!$D28&gt;'附件1 伸臂重心計算'!$L$4),"",SUM(IF('附件1 伸臂重心計算'!$E28:I28="",0,'附件1 伸臂重心計算'!$E28:I28)*IF('附件1 伸臂重心計算'!$E$4:I$4="",0,'附件1 伸臂重心計算'!$E$4:I$4))-'附件1 伸臂重心計算'!I$4)</f>
        <v/>
      </c>
      <c r="J26" s="74" t="str">
        <f t="array" ref="J26">IF(OR('附件1 伸臂重心計算'!J$3="",'附件1 伸臂重心計算'!$D28&gt;'附件1 伸臂重心計算'!$L$4),"",SUM(IF('附件1 伸臂重心計算'!$E28:J28="",0,'附件1 伸臂重心計算'!$E28:J28)*IF('附件1 伸臂重心計算'!$E$4:J$4="",0,'附件1 伸臂重心計算'!$E$4:J$4))-'附件1 伸臂重心計算'!J$4)</f>
        <v/>
      </c>
      <c r="K26" s="74" t="str">
        <f t="array" ref="K26">IF(OR('附件1 伸臂重心計算'!K$3="",'附件1 伸臂重心計算'!$D28&gt;'附件1 伸臂重心計算'!$L$4),"",SUM(IF('附件1 伸臂重心計算'!$E28:K28="",0,'附件1 伸臂重心計算'!$E28:K28)*IF('附件1 伸臂重心計算'!$E$4:K$4="",0,'附件1 伸臂重心計算'!$E$4:K$4))-'附件1 伸臂重心計算'!K$4)</f>
        <v/>
      </c>
      <c r="L26" s="170" t="str">
        <f>IF('附件1 伸臂重心計算'!D28&lt;='附件1 伸臂重心計算'!$L$4,'附件1 伸臂重心計算'!D28&amp;"節時前端等價質量","")</f>
        <v/>
      </c>
    </row>
    <row r="27" spans="1:12" x14ac:dyDescent="0.25">
      <c r="A27" s="133" t="s">
        <v>148</v>
      </c>
      <c r="B27" s="134"/>
      <c r="C27" s="134"/>
      <c r="D27" s="134"/>
      <c r="E27" s="9" t="str">
        <f t="array" ref="E27">IF(OR('附件1 伸臂重心計算'!E$3="",'附件1 伸臂重心計算'!$D28&gt;'附件1 伸臂重心計算'!$L$4),"",SUM(IF('附件1 伸臂重心計算'!$E28:E28="",0,'附件1 伸臂重心計算'!$E28:E28)*IF('附件1 伸臂重心計算'!$E$4:E$4="",0,'附件1 伸臂重心計算'!$E$4:E$4)))</f>
        <v/>
      </c>
      <c r="F27" s="9" t="str">
        <f t="array" ref="F27">IF(OR('附件1 伸臂重心計算'!F$3="",'附件1 伸臂重心計算'!$D28&gt;'附件1 伸臂重心計算'!$L$4),"",SUM(IF('附件1 伸臂重心計算'!$E28:F28="",0,'附件1 伸臂重心計算'!$E28:F28)*IF('附件1 伸臂重心計算'!$E$4:F$4="",0,'附件1 伸臂重心計算'!$E$4:F$4)))</f>
        <v/>
      </c>
      <c r="G27" s="9" t="str">
        <f t="array" ref="G27">IF(OR('附件1 伸臂重心計算'!G$3="",'附件1 伸臂重心計算'!$D28&gt;'附件1 伸臂重心計算'!$L$4),"",SUM(IF('附件1 伸臂重心計算'!$E28:G28="",0,'附件1 伸臂重心計算'!$E28:G28)*IF('附件1 伸臂重心計算'!$E$4:G$4="",0,'附件1 伸臂重心計算'!$E$4:G$4)))</f>
        <v/>
      </c>
      <c r="H27" s="9" t="str">
        <f t="array" ref="H27">IF(OR('附件1 伸臂重心計算'!H$3="",'附件1 伸臂重心計算'!$D28&gt;'附件1 伸臂重心計算'!$L$4),"",SUM(IF('附件1 伸臂重心計算'!$E28:H28="",0,'附件1 伸臂重心計算'!$E28:H28)*IF('附件1 伸臂重心計算'!$E$4:H$4="",0,'附件1 伸臂重心計算'!$E$4:H$4)))</f>
        <v/>
      </c>
      <c r="I27" s="9" t="str">
        <f t="array" ref="I27">IF(OR('附件1 伸臂重心計算'!I$3="",'附件1 伸臂重心計算'!$D28&gt;'附件1 伸臂重心計算'!$L$4),"",SUM(IF('附件1 伸臂重心計算'!$E28:I28="",0,'附件1 伸臂重心計算'!$E28:I28)*IF('附件1 伸臂重心計算'!$E$4:I$4="",0,'附件1 伸臂重心計算'!$E$4:I$4)))</f>
        <v/>
      </c>
      <c r="J27" s="9" t="str">
        <f t="array" ref="J27">IF(OR('附件1 伸臂重心計算'!J$3="",'附件1 伸臂重心計算'!$D28&gt;'附件1 伸臂重心計算'!$L$4),"",SUM(IF('附件1 伸臂重心計算'!$E28:J28="",0,'附件1 伸臂重心計算'!$E28:J28)*IF('附件1 伸臂重心計算'!$E$4:J$4="",0,'附件1 伸臂重心計算'!$E$4:J$4)))</f>
        <v/>
      </c>
      <c r="K27" s="9" t="str">
        <f t="array" ref="K27">IF(OR('附件1 伸臂重心計算'!K$3="",'附件1 伸臂重心計算'!$D28&gt;'附件1 伸臂重心計算'!$L$4),"",SUM(IF('附件1 伸臂重心計算'!$E28:K28="",0,'附件1 伸臂重心計算'!$E28:K28)*IF('附件1 伸臂重心計算'!$E$4:K$4="",0,'附件1 伸臂重心計算'!$E$4:K$4)))</f>
        <v/>
      </c>
      <c r="L27" s="178"/>
    </row>
    <row r="28" spans="1:12" ht="17.25" thickBot="1" x14ac:dyDescent="0.3">
      <c r="A28" s="154" t="s">
        <v>135</v>
      </c>
      <c r="B28" s="155"/>
      <c r="C28" s="155"/>
      <c r="D28" s="155"/>
      <c r="E28" s="60" t="str">
        <f>IF(E27="","",IF(E27&gt;='附件1 伸臂重心計算'!$L29,IF(E26&gt;'附件1 伸臂重心計算'!$L29,E27-E26,E27-'附件1 伸臂重心計算'!$L29),0))</f>
        <v/>
      </c>
      <c r="F28" s="60" t="str">
        <f>IF(F27="","",IF(F27&gt;='附件1 伸臂重心計算'!$L29,IF(F26&gt;'附件1 伸臂重心計算'!$L29,F27-F26,F27-'附件1 伸臂重心計算'!$L29),0))</f>
        <v/>
      </c>
      <c r="G28" s="60" t="str">
        <f>IF(G27="","",IF(G27&gt;='附件1 伸臂重心計算'!$L29,IF(G26&gt;'附件1 伸臂重心計算'!$L29,G27-G26,G27-'附件1 伸臂重心計算'!$L29),0))</f>
        <v/>
      </c>
      <c r="H28" s="60" t="str">
        <f>IF(H27="","",IF(H27&gt;='附件1 伸臂重心計算'!$L29,IF(H26&gt;'附件1 伸臂重心計算'!$L29,H27-H26,H27-'附件1 伸臂重心計算'!$L29),0))</f>
        <v/>
      </c>
      <c r="I28" s="60" t="str">
        <f>IF(I27="","",IF(I27&gt;='附件1 伸臂重心計算'!$L29,IF(I26&gt;'附件1 伸臂重心計算'!$L29,I27-I26,I27-'附件1 伸臂重心計算'!$L29),0))</f>
        <v/>
      </c>
      <c r="J28" s="60" t="str">
        <f>IF(J27="","",IF(J27&gt;='附件1 伸臂重心計算'!$L29,IF(J26&gt;'附件1 伸臂重心計算'!$L29,J27-J26,J27-'附件1 伸臂重心計算'!$L29),0))</f>
        <v/>
      </c>
      <c r="K28" s="60" t="str">
        <f>IF(K27="","",IF(K27&gt;='附件1 伸臂重心計算'!$L29,IF(K26&gt;'附件1 伸臂重心計算'!$L29,K27-K26,K27-'附件1 伸臂重心計算'!$L29),0))</f>
        <v/>
      </c>
      <c r="L28" s="61">
        <f t="array" ref="L28">SUM(IF(ISERROR(E28:J28/'附件1 伸臂重心計算'!$E$4:$J$4*'附件1 伸臂重心計算'!$E$5:$J$5),0,E28:J28/'附件1 伸臂重心計算'!$E$4:$J$4*'附件1 伸臂重心計算'!$E$5:$J$5))</f>
        <v>0</v>
      </c>
    </row>
    <row r="29" spans="1:12" ht="17.25" thickTop="1" x14ac:dyDescent="0.25">
      <c r="A29" s="162" t="s">
        <v>149</v>
      </c>
      <c r="B29" s="163"/>
      <c r="C29" s="163"/>
      <c r="D29" s="163"/>
      <c r="E29" s="163">
        <v>1</v>
      </c>
      <c r="F29" s="163">
        <v>2</v>
      </c>
      <c r="G29" s="163">
        <v>3</v>
      </c>
      <c r="H29" s="163">
        <v>4</v>
      </c>
      <c r="I29" s="163">
        <v>5</v>
      </c>
      <c r="J29" s="163">
        <v>6</v>
      </c>
      <c r="K29" s="163"/>
      <c r="L29" s="175" t="s">
        <v>137</v>
      </c>
    </row>
    <row r="30" spans="1:12" ht="17.25" thickBot="1" x14ac:dyDescent="0.3">
      <c r="A30" s="180"/>
      <c r="B30" s="179"/>
      <c r="C30" s="179"/>
      <c r="D30" s="179"/>
      <c r="E30" s="179"/>
      <c r="F30" s="179">
        <v>2</v>
      </c>
      <c r="G30" s="179">
        <v>3</v>
      </c>
      <c r="H30" s="179">
        <v>4</v>
      </c>
      <c r="I30" s="179">
        <v>5</v>
      </c>
      <c r="J30" s="179">
        <v>6</v>
      </c>
      <c r="K30" s="134"/>
      <c r="L30" s="176"/>
    </row>
    <row r="31" spans="1:12" x14ac:dyDescent="0.25">
      <c r="A31" s="143" t="s">
        <v>150</v>
      </c>
      <c r="B31" s="144"/>
      <c r="C31" s="144"/>
      <c r="D31" s="144"/>
      <c r="E31" s="67">
        <f t="array" ref="E31">IF(OR('附件1 伸臂重心計算'!$D10&gt;'附件1 伸臂重心計算'!$L$4,'附件1 伸臂重心計算'!E$6&gt;'附件1 伸臂重心計算'!$L$7),"",SUM('附件1 伸臂重心計算'!$E4:E$4*'附件1 伸臂重心計算'!$E10:E$10)-'附件1 伸臂重心計算'!E$4)</f>
        <v>0</v>
      </c>
      <c r="F31" s="67">
        <f t="array" ref="F31">IF(OR('附件1 伸臂重心計算'!$D10&gt;'附件1 伸臂重心計算'!$L$4,'附件1 伸臂重心計算'!F$6&gt;'附件1 伸臂重心計算'!$L$7),"",SUM('附件1 伸臂重心計算'!$E4:F$4*'附件1 伸臂重心計算'!$E10:F$10)-'附件1 伸臂重心計算'!F$4)</f>
        <v>153</v>
      </c>
      <c r="G31" s="67">
        <f t="array" ref="G31">IF(OR('附件1 伸臂重心計算'!$D10&gt;'附件1 伸臂重心計算'!$L$4,'附件1 伸臂重心計算'!G$6&gt;'附件1 伸臂重心計算'!$L$7),"",SUM('附件1 伸臂重心計算'!$E4:G$4*'附件1 伸臂重心計算'!$E10:G$10)-'附件1 伸臂重心計算'!G$4)</f>
        <v>154</v>
      </c>
      <c r="H31" s="67" t="str">
        <f t="array" ref="H31">IF(OR('附件1 伸臂重心計算'!$D10&gt;'附件1 伸臂重心計算'!$L$4,'附件1 伸臂重心計算'!H$6&gt;'附件1 伸臂重心計算'!$L$7),"",SUM('附件1 伸臂重心計算'!$E4:H$4*'附件1 伸臂重心計算'!$E10:H$10)-'附件1 伸臂重心計算'!H$4)</f>
        <v/>
      </c>
      <c r="I31" s="67" t="str">
        <f t="array" ref="I31">IF(OR('附件1 伸臂重心計算'!$D10&gt;'附件1 伸臂重心計算'!$L$4,'附件1 伸臂重心計算'!I$6&gt;'附件1 伸臂重心計算'!$L$7),"",SUM('附件1 伸臂重心計算'!$E4:I$4*'附件1 伸臂重心計算'!$E10:I$10)-'附件1 伸臂重心計算'!I$4)</f>
        <v/>
      </c>
      <c r="J31" s="67" t="str">
        <f t="array" ref="J31">IF(OR('附件1 伸臂重心計算'!$D10&gt;'附件1 伸臂重心計算'!$L$4,'附件1 伸臂重心計算'!J$6&gt;'附件1 伸臂重心計算'!$L$7),"",SUM('附件1 伸臂重心計算'!$E4:J$4*'附件1 伸臂重心計算'!$E10:J$10)-'附件1 伸臂重心計算'!J$4)</f>
        <v/>
      </c>
      <c r="K31" s="134"/>
      <c r="L31" s="177" t="str">
        <f>IF('附件1 伸臂重心計算'!D10&lt;='附件1 伸臂重心計算'!$L$4,'附件1 伸臂重心計算'!D10&amp;"節時前端等價質量","")</f>
        <v>1節時前端等價質量</v>
      </c>
    </row>
    <row r="32" spans="1:12" x14ac:dyDescent="0.25">
      <c r="A32" s="133" t="s">
        <v>151</v>
      </c>
      <c r="B32" s="134"/>
      <c r="C32" s="134"/>
      <c r="D32" s="134"/>
      <c r="E32" s="9">
        <f t="array" ref="E32">IF(OR('附件1 伸臂重心計算'!$D10&gt;'附件1 伸臂重心計算'!$L$4,'附件1 伸臂重心計算'!E$6&gt;'附件1 伸臂重心計算'!$L$7),"",SUM('附件1 伸臂重心計算'!$E4:F$4*'附件1 伸臂重心計算'!$E10:F$10))</f>
        <v>393</v>
      </c>
      <c r="F32" s="9">
        <f t="array" ref="F32">IF(OR('附件1 伸臂重心計算'!$D10&gt;'附件1 伸臂重心計算'!$L$4,'附件1 伸臂重心計算'!F$6&gt;'附件1 伸臂重心計算'!$L$7),"",SUM('附件1 伸臂重心計算'!$E4:G$4*'附件1 伸臂重心計算'!$E10:G$10))</f>
        <v>393</v>
      </c>
      <c r="G32" s="9">
        <f t="array" ref="G32">IF(OR('附件1 伸臂重心計算'!$D10&gt;'附件1 伸臂重心計算'!$L$4,'附件1 伸臂重心計算'!G$6&gt;'附件1 伸臂重心計算'!$L$7),"",SUM('附件1 伸臂重心計算'!$E4:H$4*'附件1 伸臂重心計算'!$E10:H$10))</f>
        <v>393</v>
      </c>
      <c r="H32" s="9" t="str">
        <f t="array" ref="H32">IF(OR('附件1 伸臂重心計算'!$D10&gt;'附件1 伸臂重心計算'!$L$4,'附件1 伸臂重心計算'!H$6&gt;'附件1 伸臂重心計算'!$L$7),"",SUM('附件1 伸臂重心計算'!$E4:I$4*'附件1 伸臂重心計算'!$E10:I$10))</f>
        <v/>
      </c>
      <c r="I32" s="9" t="str">
        <f t="array" ref="I32">IF(OR('附件1 伸臂重心計算'!$D10&gt;'附件1 伸臂重心計算'!$L$4,'附件1 伸臂重心計算'!I$6&gt;'附件1 伸臂重心計算'!$L$7),"",SUM('附件1 伸臂重心計算'!$E4:J$4*'附件1 伸臂重心計算'!$E10:J$10))</f>
        <v/>
      </c>
      <c r="J32" s="9" t="str">
        <f t="array" ref="J32">IF(OR('附件1 伸臂重心計算'!$D10&gt;'附件1 伸臂重心計算'!$L$4,'附件1 伸臂重心計算'!J$6&gt;'附件1 伸臂重心計算'!$L$7),"",SUM('附件1 伸臂重心計算'!$E4:K$4*'附件1 伸臂重心計算'!$E10:K$10))</f>
        <v/>
      </c>
      <c r="K32" s="134"/>
      <c r="L32" s="178"/>
    </row>
    <row r="33" spans="1:12" ht="17.25" thickBot="1" x14ac:dyDescent="0.3">
      <c r="A33" s="173" t="s">
        <v>152</v>
      </c>
      <c r="B33" s="174"/>
      <c r="C33" s="174"/>
      <c r="D33" s="174"/>
      <c r="E33" s="68">
        <f>IF(E32="","",IF(E32&gt;='附件1 伸臂重心計算'!$L11,IF(E31&gt;'附件1 伸臂重心計算'!$L11,E32-E31,E32-'附件1 伸臂重心計算'!$L11),0))</f>
        <v>144.54154154154153</v>
      </c>
      <c r="F33" s="68">
        <f>IF(F32="","",IF(F32&gt;='附件1 伸臂重心計算'!$L11,IF(F31&gt;'附件1 伸臂重心計算'!$L11,F32-F31,F32-'附件1 伸臂重心計算'!$L11),0))</f>
        <v>144.54154154154153</v>
      </c>
      <c r="G33" s="68">
        <f>IF(G32="","",IF(G32&gt;='附件1 伸臂重心計算'!$L11,IF(G31&gt;'附件1 伸臂重心計算'!$L11,G32-G31,G32-'附件1 伸臂重心計算'!$L11),0))</f>
        <v>144.54154154154153</v>
      </c>
      <c r="H33" s="68" t="str">
        <f>IF(H32="","",IF(H32&gt;='附件1 伸臂重心計算'!$L11,IF(H31&gt;'附件1 伸臂重心計算'!$L11,H32-H31,H32-'附件1 伸臂重心計算'!$L11),0))</f>
        <v/>
      </c>
      <c r="I33" s="68" t="str">
        <f>IF(I32="","",IF(I32&gt;='附件1 伸臂重心計算'!$L11,IF(I31&gt;'附件1 伸臂重心計算'!$L11,I32-I31,I32-'附件1 伸臂重心計算'!$L11),0))</f>
        <v/>
      </c>
      <c r="J33" s="68" t="str">
        <f>IF(J32="","",IF(J32&gt;='附件1 伸臂重心計算'!$L11,IF(J31&gt;'附件1 伸臂重心計算'!$L11,J9-J31,J9-'附件1 伸臂重心計算'!$L11),0))</f>
        <v/>
      </c>
      <c r="K33" s="134"/>
      <c r="L33" s="71">
        <f t="array" ref="L33">SUM(IF(ISERROR(E33:J33/(E32:J32-E31:J31)*'附件1 伸臂重心計算'!$E$7:$H$8),0,E33:J33/(E32:J32-E31:J31)*'附件1 伸臂重心計算'!$E$7:$H$8))</f>
        <v>61.967875173394354</v>
      </c>
    </row>
    <row r="34" spans="1:12" x14ac:dyDescent="0.25">
      <c r="A34" s="135" t="s">
        <v>153</v>
      </c>
      <c r="B34" s="136"/>
      <c r="C34" s="136"/>
      <c r="D34" s="136"/>
      <c r="E34" s="66">
        <f t="array" ref="E34">IF(OR('附件1 伸臂重心計算'!$D13&gt;'附件1 伸臂重心計算'!$L$4,'附件1 伸臂重心計算'!E$6&gt;'附件1 伸臂重心計算'!$L$7),"",SUM('附件1 伸臂重心計算'!$E4:E$4*'附件1 伸臂重心計算'!$E13:E$13)-'附件1 伸臂重心計算'!E$4)</f>
        <v>0</v>
      </c>
      <c r="F34" s="66">
        <f t="array" ref="F34">IF(OR('附件1 伸臂重心計算'!$D13&gt;'附件1 伸臂重心計算'!$L$4,'附件1 伸臂重心計算'!F$6&gt;'附件1 伸臂重心計算'!$L$7),"",SUM('附件1 伸臂重心計算'!$E4:F$4*'附件1 伸臂重心計算'!$E13:F$13)-'附件1 伸臂重心計算'!F$4)</f>
        <v>393</v>
      </c>
      <c r="G34" s="66">
        <f t="array" ref="G34">IF(OR('附件1 伸臂重心計算'!$D13&gt;'附件1 伸臂重心計算'!$L$4,'附件1 伸臂重心計算'!G$6&gt;'附件1 伸臂重心計算'!$L$7),"",SUM('附件1 伸臂重心計算'!$E4:G$4*'附件1 伸臂重心計算'!$E13:G$13)-'附件1 伸臂重心計算'!G$4)</f>
        <v>394</v>
      </c>
      <c r="H34" s="66" t="str">
        <f t="array" ref="H34">IF(OR('附件1 伸臂重心計算'!$D13&gt;'附件1 伸臂重心計算'!$L$4,'附件1 伸臂重心計算'!H$6&gt;'附件1 伸臂重心計算'!$L$7),"",SUM('附件1 伸臂重心計算'!$E4:H$4*'附件1 伸臂重心計算'!$E13:H$13)-'附件1 伸臂重心計算'!H$4)</f>
        <v/>
      </c>
      <c r="I34" s="66" t="str">
        <f t="array" ref="I34">IF(OR('附件1 伸臂重心計算'!$D13&gt;'附件1 伸臂重心計算'!$L$4,'附件1 伸臂重心計算'!I$6&gt;'附件1 伸臂重心計算'!$L$7),"",SUM('附件1 伸臂重心計算'!$E4:I$4*'附件1 伸臂重心計算'!$E13:I$13)-'附件1 伸臂重心計算'!I$4)</f>
        <v/>
      </c>
      <c r="J34" s="66" t="str">
        <f t="array" ref="J34">IF(OR('附件1 伸臂重心計算'!$D13&gt;'附件1 伸臂重心計算'!$L$4,'附件1 伸臂重心計算'!J$6&gt;'附件1 伸臂重心計算'!$L$7),"",SUM('附件1 伸臂重心計算'!$E4:J$4*'附件1 伸臂重心計算'!$E13:J$13)-'附件1 伸臂重心計算'!J$4)</f>
        <v/>
      </c>
      <c r="K34" s="134"/>
      <c r="L34" s="170" t="str">
        <f>IF('附件1 伸臂重心計算'!D13&lt;='附件1 伸臂重心計算'!$L$4,'附件1 伸臂重心計算'!D13&amp;"節時前端等價質量","")</f>
        <v>2節時前端等價質量</v>
      </c>
    </row>
    <row r="35" spans="1:12" x14ac:dyDescent="0.25">
      <c r="A35" s="133" t="s">
        <v>138</v>
      </c>
      <c r="B35" s="134"/>
      <c r="C35" s="134"/>
      <c r="D35" s="134"/>
      <c r="E35" s="62">
        <f t="array" ref="E35">IF(OR('附件1 伸臂重心計算'!$D13&gt;'附件1 伸臂重心計算'!$L$4,'附件1 伸臂重心計算'!E$6&gt;'附件1 伸臂重心計算'!$L$7),"",SUM('附件1 伸臂重心計算'!$E4:F$4*'附件1 伸臂重心計算'!$E13:F$13))</f>
        <v>633</v>
      </c>
      <c r="F35" s="62">
        <f t="array" ref="F35">IF(OR('附件1 伸臂重心計算'!$D13&gt;'附件1 伸臂重心計算'!$L$4,'附件1 伸臂重心計算'!F$6&gt;'附件1 伸臂重心計算'!$L$7),"",SUM('附件1 伸臂重心計算'!$E4:G$4*'附件1 伸臂重心計算'!$E13:G$13))</f>
        <v>633</v>
      </c>
      <c r="G35" s="62">
        <f t="array" ref="G35">IF(OR('附件1 伸臂重心計算'!$D13&gt;'附件1 伸臂重心計算'!$L$4,'附件1 伸臂重心計算'!G$6&gt;'附件1 伸臂重心計算'!$L$7),"",SUM('附件1 伸臂重心計算'!$E4:H$4*'附件1 伸臂重心計算'!$E13:H$13))</f>
        <v>633</v>
      </c>
      <c r="H35" s="62" t="str">
        <f t="array" ref="H35">IF(OR('附件1 伸臂重心計算'!$D13&gt;'附件1 伸臂重心計算'!$L$4,'附件1 伸臂重心計算'!H$6&gt;'附件1 伸臂重心計算'!$L$7),"",SUM('附件1 伸臂重心計算'!$E4:I$4*'附件1 伸臂重心計算'!$E13:I$13))</f>
        <v/>
      </c>
      <c r="I35" s="62" t="str">
        <f t="array" ref="I35">IF(OR('附件1 伸臂重心計算'!$D13&gt;'附件1 伸臂重心計算'!$L$4,'附件1 伸臂重心計算'!I$6&gt;'附件1 伸臂重心計算'!$L$7),"",SUM('附件1 伸臂重心計算'!$E4:J$4*'附件1 伸臂重心計算'!$E13:J$13))</f>
        <v/>
      </c>
      <c r="J35" s="62" t="str">
        <f t="array" ref="J35">IF(OR('附件1 伸臂重心計算'!$D13&gt;'附件1 伸臂重心計算'!$L$4,'附件1 伸臂重心計算'!J$6&gt;'附件1 伸臂重心計算'!$L$7),"",SUM('附件1 伸臂重心計算'!$E4:K$4*'附件1 伸臂重心計算'!$E13:K$13))</f>
        <v/>
      </c>
      <c r="K35" s="134"/>
      <c r="L35" s="178"/>
    </row>
    <row r="36" spans="1:12" ht="17.25" thickBot="1" x14ac:dyDescent="0.3">
      <c r="A36" s="180" t="s">
        <v>152</v>
      </c>
      <c r="B36" s="179"/>
      <c r="C36" s="179"/>
      <c r="D36" s="179"/>
      <c r="E36" s="65">
        <f>IF(E35="","",IF(E35&gt;='附件1 伸臂重心計算'!$L14,IF(E34&gt;'附件1 伸臂重心計算'!$L14,E35-E34,E35-'附件1 伸臂重心計算'!$L14),0))</f>
        <v>218.17517517517518</v>
      </c>
      <c r="F36" s="65">
        <f>IF(F35="","",IF(F35&gt;='附件1 伸臂重心計算'!$L14,IF(F34&gt;'附件1 伸臂重心計算'!$L14,F35-F34,F35-'附件1 伸臂重心計算'!$L14),0))</f>
        <v>218.17517517517518</v>
      </c>
      <c r="G36" s="65">
        <f>IF(G35="","",IF(G35&gt;='附件1 伸臂重心計算'!$L14,IF(G34&gt;'附件1 伸臂重心計算'!$L14,G35-G34,G35-'附件1 伸臂重心計算'!$L14),0))</f>
        <v>218.17517517517518</v>
      </c>
      <c r="H36" s="65" t="str">
        <f>IF(H35="","",IF(H35&gt;='附件1 伸臂重心計算'!$L14,IF(H34&gt;'附件1 伸臂重心計算'!$L14,H35-H34,H35-'附件1 伸臂重心計算'!$L14),0))</f>
        <v/>
      </c>
      <c r="I36" s="65" t="str">
        <f>IF(I35="","",IF(I35&gt;='附件1 伸臂重心計算'!$L14,IF(I34&gt;'附件1 伸臂重心計算'!$L14,I35-I34,I35-'附件1 伸臂重心計算'!$L14),0))</f>
        <v/>
      </c>
      <c r="J36" s="65" t="str">
        <f>IF(J35="","",IF(J35&gt;='附件1 伸臂重心計算'!$L14,IF(J34&gt;'附件1 伸臂重心計算'!$L14,J12-J34,J12-'附件1 伸臂重心計算'!$L14),0))</f>
        <v/>
      </c>
      <c r="K36" s="134"/>
      <c r="L36" s="70">
        <f t="array" ref="L36">SUM(IF(ISERROR(E36:J36/(E35:J35-E34:J34)*'附件1 伸臂重心計算'!$E$7:$H$8),0,E36:J36/(E35:J35-E34:J34)*'附件1 伸臂重心計算'!$E$7:$H$8))</f>
        <v>81.538477691238995</v>
      </c>
    </row>
    <row r="37" spans="1:12" x14ac:dyDescent="0.25">
      <c r="A37" s="143" t="s">
        <v>139</v>
      </c>
      <c r="B37" s="144"/>
      <c r="C37" s="144"/>
      <c r="D37" s="144"/>
      <c r="E37" s="69">
        <f t="array" ref="E37">IF(OR('附件1 伸臂重心計算'!$D16&gt;'附件1 伸臂重心計算'!$L$4,'附件1 伸臂重心計算'!E$6&gt;'附件1 伸臂重心計算'!$L$7),"",SUM('附件1 伸臂重心計算'!$E4:E$4*'附件1 伸臂重心計算'!$E16:E$16)-'附件1 伸臂重心計算'!E$4)</f>
        <v>0</v>
      </c>
      <c r="F37" s="69">
        <f t="array" ref="F37">IF(OR('附件1 伸臂重心計算'!$D16&gt;'附件1 伸臂重心計算'!$L$4,'附件1 伸臂重心計算'!F$6&gt;'附件1 伸臂重心計算'!$L$7),"",SUM('附件1 伸臂重心計算'!$E4:F$4*'附件1 伸臂重心計算'!$E16:F$16)-'附件1 伸臂重心計算'!F$4)</f>
        <v>393</v>
      </c>
      <c r="G37" s="69">
        <f t="array" ref="G37">IF(OR('附件1 伸臂重心計算'!$D16&gt;'附件1 伸臂重心計算'!$L$4,'附件1 伸臂重心計算'!G$6&gt;'附件1 伸臂重心計算'!$L$7),"",SUM('附件1 伸臂重心計算'!$E4:G$4*'附件1 伸臂重心計算'!$E16:G$16)-'附件1 伸臂重心計算'!G$4)</f>
        <v>633</v>
      </c>
      <c r="H37" s="69" t="str">
        <f t="array" ref="H37">IF(OR('附件1 伸臂重心計算'!$D16&gt;'附件1 伸臂重心計算'!$L$4,'附件1 伸臂重心計算'!H$6&gt;'附件1 伸臂重心計算'!$L$7),"",SUM('附件1 伸臂重心計算'!$E4:H$4*'附件1 伸臂重心計算'!$E16:H$16)-'附件1 伸臂重心計算'!H$4)</f>
        <v/>
      </c>
      <c r="I37" s="69" t="str">
        <f t="array" ref="I37">IF(OR('附件1 伸臂重心計算'!$D16&gt;'附件1 伸臂重心計算'!$L$4,'附件1 伸臂重心計算'!I$6&gt;'附件1 伸臂重心計算'!$L$7),"",SUM('附件1 伸臂重心計算'!$E4:I$4*'附件1 伸臂重心計算'!$E16:I$16)-'附件1 伸臂重心計算'!I$4)</f>
        <v/>
      </c>
      <c r="J37" s="69" t="str">
        <f t="array" ref="J37">IF(OR('附件1 伸臂重心計算'!$D16&gt;'附件1 伸臂重心計算'!$L$4,'附件1 伸臂重心計算'!J$6&gt;'附件1 伸臂重心計算'!$L$7),"",SUM('附件1 伸臂重心計算'!$E4:J$4*'附件1 伸臂重心計算'!$E16:J$16)-'附件1 伸臂重心計算'!J$4)</f>
        <v/>
      </c>
      <c r="K37" s="134"/>
      <c r="L37" s="177" t="str">
        <f>IF('附件1 伸臂重心計算'!D16&lt;='附件1 伸臂重心計算'!$L$4,'附件1 伸臂重心計算'!D16&amp;"節時前端等價質量","")</f>
        <v>3節時前端等價質量</v>
      </c>
    </row>
    <row r="38" spans="1:12" x14ac:dyDescent="0.25">
      <c r="A38" s="133" t="s">
        <v>140</v>
      </c>
      <c r="B38" s="134"/>
      <c r="C38" s="134"/>
      <c r="D38" s="134"/>
      <c r="E38" s="62">
        <f t="array" ref="E38">IF(OR('附件1 伸臂重心計算'!$D16&gt;'附件1 伸臂重心計算'!$L$4,'附件1 伸臂重心計算'!E$6&gt;'附件1 伸臂重心計算'!$L$7),"",SUM('附件1 伸臂重心計算'!$E4:F$4*'附件1 伸臂重心計算'!$E16:F$16))</f>
        <v>633</v>
      </c>
      <c r="F38" s="62">
        <f t="array" ref="F38">IF(OR('附件1 伸臂重心計算'!$D16&gt;'附件1 伸臂重心計算'!$L$4,'附件1 伸臂重心計算'!F$6&gt;'附件1 伸臂重心計算'!$L$7),"",SUM('附件1 伸臂重心計算'!$E4:G$4*'附件1 伸臂重心計算'!$E16:G$16))</f>
        <v>872</v>
      </c>
      <c r="G38" s="62">
        <f t="array" ref="G38">IF(OR('附件1 伸臂重心計算'!$D16&gt;'附件1 伸臂重心計算'!$L$4,'附件1 伸臂重心計算'!G$6&gt;'附件1 伸臂重心計算'!$L$7),"",SUM('附件1 伸臂重心計算'!$E4:H$4*'附件1 伸臂重心計算'!$E16:H$16))</f>
        <v>872</v>
      </c>
      <c r="H38" s="62" t="str">
        <f t="array" ref="H38">IF(OR('附件1 伸臂重心計算'!$D16&gt;'附件1 伸臂重心計算'!$L$4,'附件1 伸臂重心計算'!H$6&gt;'附件1 伸臂重心計算'!$L$7),"",SUM('附件1 伸臂重心計算'!$E4:I$4*'附件1 伸臂重心計算'!$E16:I$16))</f>
        <v/>
      </c>
      <c r="I38" s="62" t="str">
        <f t="array" ref="I38">IF(OR('附件1 伸臂重心計算'!$D16&gt;'附件1 伸臂重心計算'!$L$4,'附件1 伸臂重心計算'!I$6&gt;'附件1 伸臂重心計算'!$L$7),"",SUM('附件1 伸臂重心計算'!$E4:J$4*'附件1 伸臂重心計算'!$E16:J$16))</f>
        <v/>
      </c>
      <c r="J38" s="62" t="str">
        <f t="array" ref="J38">IF(OR('附件1 伸臂重心計算'!$D16&gt;'附件1 伸臂重心計算'!$L$4,'附件1 伸臂重心計算'!J$6&gt;'附件1 伸臂重心計算'!$L$7),"",SUM('附件1 伸臂重心計算'!$E4:K$4*'附件1 伸臂重心計算'!$E16:K$16))</f>
        <v/>
      </c>
      <c r="K38" s="134"/>
      <c r="L38" s="178"/>
    </row>
    <row r="39" spans="1:12" ht="17.25" thickBot="1" x14ac:dyDescent="0.3">
      <c r="A39" s="173" t="s">
        <v>152</v>
      </c>
      <c r="B39" s="174"/>
      <c r="C39" s="174"/>
      <c r="D39" s="174"/>
      <c r="E39" s="68">
        <f>IF(E38="","",IF(E38&gt;='附件1 伸臂重心計算'!$L17,IF(E37&gt;'附件1 伸臂重心計算'!$L17,E38-E37,E38-'附件1 伸臂重心計算'!$L17),0))</f>
        <v>104.53653653653657</v>
      </c>
      <c r="F39" s="68">
        <f>IF(F38="","",IF(F38&gt;='附件1 伸臂重心計算'!$L17,IF(F37&gt;'附件1 伸臂重心計算'!$L17,F38-F37,F38-'附件1 伸臂重心計算'!$L17),0))</f>
        <v>343.53653653653657</v>
      </c>
      <c r="G39" s="68">
        <f>IF(G38="","",IF(G38&gt;='附件1 伸臂重心計算'!$L17,IF(G37&gt;'附件1 伸臂重心計算'!$L17,G38-G37,G38-'附件1 伸臂重心計算'!$L17),0))</f>
        <v>239</v>
      </c>
      <c r="H39" s="68" t="str">
        <f>IF(H38="","",IF(H38&gt;='附件1 伸臂重心計算'!$L17,IF(H37&gt;'附件1 伸臂重心計算'!$L17,H38-H37,H38-'附件1 伸臂重心計算'!$L17),0))</f>
        <v/>
      </c>
      <c r="I39" s="68" t="str">
        <f>IF(I38="","",IF(I38&gt;='附件1 伸臂重心計算'!$L17,IF(I37&gt;'附件1 伸臂重心計算'!$L17,I38-I37,I38-'附件1 伸臂重心計算'!$L17),0))</f>
        <v/>
      </c>
      <c r="J39" s="68" t="str">
        <f>IF(J38="","",IF(J38&gt;='附件1 伸臂重心計算'!$L17,IF(J37&gt;'附件1 伸臂重心計算'!$L17,J15-J37,J15-'附件1 伸臂重心計算'!$L17),0))</f>
        <v/>
      </c>
      <c r="K39" s="134"/>
      <c r="L39" s="71">
        <f t="array" ref="L39">SUM(IF(ISERROR(E39:J39/(E38:J38-E37:J37)*'附件1 伸臂重心計算'!$E$7:$H$8),0,E39:J39/(E38:J38-E37:J37)*'附件1 伸臂重心計算'!$E$7:$H$8))</f>
        <v>63.838615807627079</v>
      </c>
    </row>
    <row r="40" spans="1:12" x14ac:dyDescent="0.25">
      <c r="A40" s="135" t="s">
        <v>141</v>
      </c>
      <c r="B40" s="136"/>
      <c r="C40" s="136"/>
      <c r="D40" s="136"/>
      <c r="E40" s="66">
        <f t="array" ref="E40">IF(OR('附件1 伸臂重心計算'!$D19&gt;'附件1 伸臂重心計算'!$L$4,'附件1 伸臂重心計算'!E$6&gt;'附件1 伸臂重心計算'!$L$7),"",SUM('附件1 伸臂重心計算'!$E4:E$4*'附件1 伸臂重心計算'!$E19:E19)-'附件1 伸臂重心計算'!E$4)</f>
        <v>0</v>
      </c>
      <c r="F40" s="66">
        <f t="array" ref="F40">IF(OR('附件1 伸臂重心計算'!$D19&gt;'附件1 伸臂重心計算'!$L$4,'附件1 伸臂重心計算'!F$6&gt;'附件1 伸臂重心計算'!$L$7),"",SUM('附件1 伸臂重心計算'!$E4:F$4*'附件1 伸臂重心計算'!$E19:F19)-'附件1 伸臂重心計算'!F$4)</f>
        <v>393</v>
      </c>
      <c r="G40" s="66">
        <f t="array" ref="G40">IF(OR('附件1 伸臂重心計算'!$D19&gt;'附件1 伸臂重心計算'!$L$4,'附件1 伸臂重心計算'!G$6&gt;'附件1 伸臂重心計算'!$L$7),"",SUM('附件1 伸臂重心計算'!$E4:G$4*'附件1 伸臂重心計算'!$E19:G19)-'附件1 伸臂重心計算'!G$4)</f>
        <v>633</v>
      </c>
      <c r="H40" s="66" t="str">
        <f t="array" ref="H40">IF(OR('附件1 伸臂重心計算'!$D19&gt;'附件1 伸臂重心計算'!$L$4,'附件1 伸臂重心計算'!H$6&gt;'附件1 伸臂重心計算'!$L$7),"",SUM('附件1 伸臂重心計算'!$E4:H$4*'附件1 伸臂重心計算'!$E19:H19)-'附件1 伸臂重心計算'!H$4)</f>
        <v/>
      </c>
      <c r="I40" s="66" t="str">
        <f t="array" ref="I40">IF(OR('附件1 伸臂重心計算'!$D19&gt;'附件1 伸臂重心計算'!$L$4,'附件1 伸臂重心計算'!I$6&gt;'附件1 伸臂重心計算'!$L$7),"",SUM('附件1 伸臂重心計算'!$E4:I$4*'附件1 伸臂重心計算'!$E19:I19)-'附件1 伸臂重心計算'!I$4)</f>
        <v/>
      </c>
      <c r="J40" s="66" t="str">
        <f t="array" ref="J40">IF(OR('附件1 伸臂重心計算'!$D19&gt;'附件1 伸臂重心計算'!$L$4,'附件1 伸臂重心計算'!J$6&gt;'附件1 伸臂重心計算'!$L$7),"",SUM('附件1 伸臂重心計算'!$E4:J$4*'附件1 伸臂重心計算'!$E19:J19)-'附件1 伸臂重心計算'!J$4)</f>
        <v/>
      </c>
      <c r="K40" s="134"/>
      <c r="L40" s="170" t="str">
        <f>IF('附件1 伸臂重心計算'!D19&lt;='附件1 伸臂重心計算'!$L$4,'附件1 伸臂重心計算'!D19&amp;"節時前端等價質量","")</f>
        <v>4節時前端等價質量</v>
      </c>
    </row>
    <row r="41" spans="1:12" x14ac:dyDescent="0.25">
      <c r="A41" s="133" t="s">
        <v>142</v>
      </c>
      <c r="B41" s="134"/>
      <c r="C41" s="134"/>
      <c r="D41" s="134"/>
      <c r="E41" s="62">
        <f t="array" ref="E41">IF(OR('附件1 伸臂重心計算'!$D19&gt;'附件1 伸臂重心計算'!$L$4,'附件1 伸臂重心計算'!E$6&gt;'附件1 伸臂重心計算'!$L$7),"",SUM('附件1 伸臂重心計算'!$E4:F$4*'附件1 伸臂重心計算'!$E19:F19))</f>
        <v>633</v>
      </c>
      <c r="F41" s="62">
        <f t="array" ref="F41">IF(OR('附件1 伸臂重心計算'!$D19&gt;'附件1 伸臂重心計算'!$L$4,'附件1 伸臂重心計算'!F$6&gt;'附件1 伸臂重心計算'!$L$7),"",SUM('附件1 伸臂重心計算'!$E4:G$4*'附件1 伸臂重心計算'!$E19:G19))</f>
        <v>872</v>
      </c>
      <c r="G41" s="62">
        <f t="array" ref="G41">IF(OR('附件1 伸臂重心計算'!$D19&gt;'附件1 伸臂重心計算'!$L$4,'附件1 伸臂重心計算'!G$6&gt;'附件1 伸臂重心計算'!$L$7),"",SUM('附件1 伸臂重心計算'!$E4:H$4*'附件1 伸臂重心計算'!$E19:H19))</f>
        <v>949.66666666666663</v>
      </c>
      <c r="H41" s="62" t="str">
        <f t="array" ref="H41">IF(OR('附件1 伸臂重心計算'!$D19&gt;'附件1 伸臂重心計算'!$L$4,'附件1 伸臂重心計算'!H$6&gt;'附件1 伸臂重心計算'!$L$7),"",SUM('附件1 伸臂重心計算'!$E4:I$4*'附件1 伸臂重心計算'!$E19:I19))</f>
        <v/>
      </c>
      <c r="I41" s="62" t="str">
        <f t="array" ref="I41">IF(OR('附件1 伸臂重心計算'!$D19&gt;'附件1 伸臂重心計算'!$L$4,'附件1 伸臂重心計算'!I$6&gt;'附件1 伸臂重心計算'!$L$7),"",SUM('附件1 伸臂重心計算'!$E4:J$4*'附件1 伸臂重心計算'!$E19:J19))</f>
        <v/>
      </c>
      <c r="J41" s="62" t="str">
        <f t="array" ref="J41">IF(OR('附件1 伸臂重心計算'!$D19&gt;'附件1 伸臂重心計算'!$L$4,'附件1 伸臂重心計算'!J$6&gt;'附件1 伸臂重心計算'!$L$7),"",SUM('附件1 伸臂重心計算'!$E4:K$4*'附件1 伸臂重心計算'!$E19:K19))</f>
        <v/>
      </c>
      <c r="K41" s="134"/>
      <c r="L41" s="178"/>
    </row>
    <row r="42" spans="1:12" ht="17.25" thickBot="1" x14ac:dyDescent="0.3">
      <c r="A42" s="180" t="s">
        <v>152</v>
      </c>
      <c r="B42" s="179"/>
      <c r="C42" s="179"/>
      <c r="D42" s="179"/>
      <c r="E42" s="65">
        <f>IF(E41="","",IF(E41&gt;='附件1 伸臂重心計算'!$L20,IF(E40&gt;'附件1 伸臂重心計算'!$L20,E41-E40,E41-'附件1 伸臂重心計算'!$L20),0))</f>
        <v>59.988988988989149</v>
      </c>
      <c r="F42" s="65">
        <f>IF(F41="","",IF(F41&gt;='附件1 伸臂重心計算'!$L20,IF(F40&gt;'附件1 伸臂重心計算'!$L20,F41-F40,F41-'附件1 伸臂重心計算'!$L20),0))</f>
        <v>298.98898898898915</v>
      </c>
      <c r="G42" s="65">
        <f>IF(G41="","",IF(G41&gt;='附件1 伸臂重心計算'!$L20,IF(G40&gt;'附件1 伸臂重心計算'!$L20,G41-G40,G41-'附件1 伸臂重心計算'!$L20),0))</f>
        <v>316.66666666666663</v>
      </c>
      <c r="H42" s="65" t="str">
        <f>IF(H41="","",IF(H41&gt;='附件1 伸臂重心計算'!$L20,IF(H40&gt;'附件1 伸臂重心計算'!$L20,H41-H40,H41-'附件1 伸臂重心計算'!$L20),0))</f>
        <v/>
      </c>
      <c r="I42" s="65" t="str">
        <f>IF(I41="","",IF(I41&gt;='附件1 伸臂重心計算'!$L20,IF(I40&gt;'附件1 伸臂重心計算'!$L20,I41-I40,I41-'附件1 伸臂重心計算'!$L20),0))</f>
        <v/>
      </c>
      <c r="J42" s="65" t="str">
        <f>IF(J41="","",IF(J41&gt;='附件1 伸臂重心計算'!$L20,IF(J40&gt;'附件1 伸臂重心計算'!$L20,J18-J40,J18-'附件1 伸臂重心計算'!$L20),0))</f>
        <v/>
      </c>
      <c r="K42" s="134"/>
      <c r="L42" s="70">
        <f t="array" ref="L42">SUM(IF(ISERROR(E42:J42/(E41:J41-E40:J40)*'附件1 伸臂重心計算'!$E$7:$H$8),0,E42:J42/(E41:J41-E40:J40)*'附件1 伸臂重心計算'!$E$7:$H$8))</f>
        <v>55.36317040110491</v>
      </c>
    </row>
    <row r="43" spans="1:12" x14ac:dyDescent="0.25">
      <c r="A43" s="143" t="s">
        <v>143</v>
      </c>
      <c r="B43" s="144"/>
      <c r="C43" s="144"/>
      <c r="D43" s="144"/>
      <c r="E43" s="69">
        <f t="array" ref="E43">IF(OR('附件1 伸臂重心計算'!$D22&gt;'附件1 伸臂重心計算'!$L$4,'附件1 伸臂重心計算'!E$6&gt;'附件1 伸臂重心計算'!$L$7),"",SUM('附件1 伸臂重心計算'!$E$4:E4*'附件1 伸臂重心計算'!$E22:E22)-'附件1 伸臂重心計算'!E$4)</f>
        <v>0</v>
      </c>
      <c r="F43" s="69">
        <f t="array" ref="F43">IF(OR('附件1 伸臂重心計算'!$D22&gt;'附件1 伸臂重心計算'!$L$4,'附件1 伸臂重心計算'!F$6&gt;'附件1 伸臂重心計算'!$L$7),"",SUM('附件1 伸臂重心計算'!$E$4:F4*'附件1 伸臂重心計算'!$E22:F22)-'附件1 伸臂重心計算'!F$4)</f>
        <v>393</v>
      </c>
      <c r="G43" s="69">
        <f t="array" ref="G43">IF(OR('附件1 伸臂重心計算'!$D22&gt;'附件1 伸臂重心計算'!$L$4,'附件1 伸臂重心計算'!G$6&gt;'附件1 伸臂重心計算'!$L$7),"",SUM('附件1 伸臂重心計算'!$E$4:G4*'附件1 伸臂重心計算'!$E22:G22)-'附件1 伸臂重心計算'!G$4)</f>
        <v>633</v>
      </c>
      <c r="H43" s="69" t="str">
        <f t="array" ref="H43">IF(OR('附件1 伸臂重心計算'!$D22&gt;'附件1 伸臂重心計算'!$L$4,'附件1 伸臂重心計算'!H$6&gt;'附件1 伸臂重心計算'!$L$7),"",SUM('附件1 伸臂重心計算'!$E$4:H4*'附件1 伸臂重心計算'!$E22:H22)-'附件1 伸臂重心計算'!H$4)</f>
        <v/>
      </c>
      <c r="I43" s="69" t="str">
        <f t="array" ref="I43">IF(OR('附件1 伸臂重心計算'!$D22&gt;'附件1 伸臂重心計算'!$L$4,'附件1 伸臂重心計算'!I$6&gt;'附件1 伸臂重心計算'!$L$7),"",SUM('附件1 伸臂重心計算'!$E$4:I4*'附件1 伸臂重心計算'!$E22:I22)-'附件1 伸臂重心計算'!I$4)</f>
        <v/>
      </c>
      <c r="J43" s="69" t="str">
        <f t="array" ref="J43">IF(OR('附件1 伸臂重心計算'!$D22&gt;'附件1 伸臂重心計算'!$L$4,'附件1 伸臂重心計算'!J$6&gt;'附件1 伸臂重心計算'!$L$7),"",SUM('附件1 伸臂重心計算'!$E$4:J4*'附件1 伸臂重心計算'!$E22:J22)-'附件1 伸臂重心計算'!J$4)</f>
        <v/>
      </c>
      <c r="K43" s="134"/>
      <c r="L43" s="177" t="str">
        <f>IF('附件1 伸臂重心計算'!D22&lt;='附件1 伸臂重心計算'!$L$4,'附件1 伸臂重心計算'!D22&amp;"節時前端等價質量","")</f>
        <v>5節時前端等價質量</v>
      </c>
    </row>
    <row r="44" spans="1:12" x14ac:dyDescent="0.25">
      <c r="A44" s="133" t="s">
        <v>144</v>
      </c>
      <c r="B44" s="134"/>
      <c r="C44" s="134"/>
      <c r="D44" s="134"/>
      <c r="E44" s="62">
        <f t="array" ref="E44">IF(OR('附件1 伸臂重心計算'!$D22&gt;'附件1 伸臂重心計算'!$L$4,'附件1 伸臂重心計算'!E$6&gt;'附件1 伸臂重心計算'!$L$7),"",SUM('附件1 伸臂重心計算'!$E$4:F4*'附件1 伸臂重心計算'!$E22:F22))</f>
        <v>633</v>
      </c>
      <c r="F44" s="62">
        <f t="array" ref="F44">IF(OR('附件1 伸臂重心計算'!$D22&gt;'附件1 伸臂重心計算'!$L$4,'附件1 伸臂重心計算'!F$6&gt;'附件1 伸臂重心計算'!$L$7),"",SUM('附件1 伸臂重心計算'!$E$4:G4*'附件1 伸臂重心計算'!$E22:G22))</f>
        <v>872</v>
      </c>
      <c r="G44" s="62">
        <f t="array" ref="G44">IF(OR('附件1 伸臂重心計算'!$D22&gt;'附件1 伸臂重心計算'!$L$4,'附件1 伸臂重心計算'!G$6&gt;'附件1 伸臂重心計算'!$L$7),"",SUM('附件1 伸臂重心計算'!$E$4:H4*'附件1 伸臂重心計算'!$E22:H22))</f>
        <v>1027.3333333333333</v>
      </c>
      <c r="H44" s="62" t="str">
        <f t="array" ref="H44">IF(OR('附件1 伸臂重心計算'!$D22&gt;'附件1 伸臂重心計算'!$L$4,'附件1 伸臂重心計算'!H$6&gt;'附件1 伸臂重心計算'!$L$7),"",SUM('附件1 伸臂重心計算'!$E$4:I4*'附件1 伸臂重心計算'!$E22:I22))</f>
        <v/>
      </c>
      <c r="I44" s="62" t="str">
        <f t="array" ref="I44">IF(OR('附件1 伸臂重心計算'!$D22&gt;'附件1 伸臂重心計算'!$L$4,'附件1 伸臂重心計算'!I$6&gt;'附件1 伸臂重心計算'!$L$7),"",SUM('附件1 伸臂重心計算'!$E$4:J4*'附件1 伸臂重心計算'!$E22:J22))</f>
        <v/>
      </c>
      <c r="J44" s="62" t="str">
        <f t="array" ref="J44">IF(OR('附件1 伸臂重心計算'!$D22&gt;'附件1 伸臂重心計算'!$L$4,'附件1 伸臂重心計算'!J$6&gt;'附件1 伸臂重心計算'!$L$7),"",SUM('附件1 伸臂重心計算'!$E$4:K4*'附件1 伸臂重心計算'!$E22:K22))</f>
        <v/>
      </c>
      <c r="K44" s="134"/>
      <c r="L44" s="178"/>
    </row>
    <row r="45" spans="1:12" ht="17.25" thickBot="1" x14ac:dyDescent="0.3">
      <c r="A45" s="173" t="s">
        <v>152</v>
      </c>
      <c r="B45" s="174"/>
      <c r="C45" s="174"/>
      <c r="D45" s="174"/>
      <c r="E45" s="68">
        <f>IF(E44="","",IF(E44&gt;='附件1 伸臂重心計算'!$L23,IF(E43&gt;'附件1 伸臂重心計算'!$L23,E44-E43,E44-'附件1 伸臂重心計算'!$L23),0))</f>
        <v>15.441441441441498</v>
      </c>
      <c r="F45" s="68">
        <f>IF(F44="","",IF(F44&gt;='附件1 伸臂重心計算'!$L23,IF(F43&gt;'附件1 伸臂重心計算'!$L23,F44-F43,F44-'附件1 伸臂重心計算'!$L23),0))</f>
        <v>254.4414414414415</v>
      </c>
      <c r="G45" s="68">
        <f>IF(G44="","",IF(G44&gt;='附件1 伸臂重心計算'!$L23,IF(G43&gt;'附件1 伸臂重心計算'!$L23,G44-G43,G44-'附件1 伸臂重心計算'!$L23),0))</f>
        <v>394.33333333333326</v>
      </c>
      <c r="H45" s="68" t="str">
        <f>IF(H44="","",IF(H44&gt;='附件1 伸臂重心計算'!$L23,IF(H43&gt;'附件1 伸臂重心計算'!$L23,H44-H43,H44-'附件1 伸臂重心計算'!$L23),0))</f>
        <v/>
      </c>
      <c r="I45" s="68" t="str">
        <f>IF(I44="","",IF(I44&gt;='附件1 伸臂重心計算'!$L23,IF(I43&gt;'附件1 伸臂重心計算'!$L23,I44-I43,I44-'附件1 伸臂重心計算'!$L23),0))</f>
        <v/>
      </c>
      <c r="J45" s="68" t="str">
        <f>IF(J44="","",IF(J44&gt;='附件1 伸臂重心計算'!$L23,IF(J43&gt;'附件1 伸臂重心計算'!$L23,J21-J43,J21-'附件1 伸臂重心計算'!$L23),0))</f>
        <v/>
      </c>
      <c r="K45" s="134"/>
      <c r="L45" s="71">
        <f t="array" ref="L45">SUM(IF(ISERROR(E45:J45/(E44:J44-E43:J43)*'附件1 伸臂重心計算'!$E$7:$H$8),0,E45:J45/(E44:J44-E43:J43)*'附件1 伸臂重心計算'!$E$7:$H$8))</f>
        <v>46.887724994582697</v>
      </c>
    </row>
    <row r="46" spans="1:12" x14ac:dyDescent="0.25">
      <c r="A46" s="135" t="s">
        <v>145</v>
      </c>
      <c r="B46" s="136"/>
      <c r="C46" s="136"/>
      <c r="D46" s="136"/>
      <c r="E46" s="66">
        <f t="array" ref="E46">IF(OR('附件1 伸臂重心計算'!$D25&gt;'附件1 伸臂重心計算'!$L$4,'附件1 伸臂重心計算'!E$6&gt;'附件1 伸臂重心計算'!$L$7),"",SUM('附件1 伸臂重心計算'!$E$4:E4*'附件1 伸臂重心計算'!$E25:E25)-'附件1 伸臂重心計算'!E$4)</f>
        <v>0</v>
      </c>
      <c r="F46" s="66">
        <f t="array" ref="F46">IF(OR('附件1 伸臂重心計算'!$D25&gt;'附件1 伸臂重心計算'!$L$4,'附件1 伸臂重心計算'!F$6&gt;'附件1 伸臂重心計算'!$L$7),"",SUM('附件1 伸臂重心計算'!$E$4:F4*'附件1 伸臂重心計算'!$E25:F25)-'附件1 伸臂重心計算'!F$4)</f>
        <v>393</v>
      </c>
      <c r="G46" s="66">
        <f t="array" ref="G46">IF(OR('附件1 伸臂重心計算'!$D25&gt;'附件1 伸臂重心計算'!$L$4,'附件1 伸臂重心計算'!G$6&gt;'附件1 伸臂重心計算'!$L$7),"",SUM('附件1 伸臂重心計算'!$E$4:G4*'附件1 伸臂重心計算'!$E25:G25)-'附件1 伸臂重心計算'!G$4)</f>
        <v>633</v>
      </c>
      <c r="H46" s="66" t="str">
        <f t="array" ref="H46">IF(OR('附件1 伸臂重心計算'!$D25&gt;'附件1 伸臂重心計算'!$L$4,'附件1 伸臂重心計算'!H$6&gt;'附件1 伸臂重心計算'!$L$7),"",SUM('附件1 伸臂重心計算'!$E$4:H4*'附件1 伸臂重心計算'!$E25:H25)-'附件1 伸臂重心計算'!H$4)</f>
        <v/>
      </c>
      <c r="I46" s="66" t="str">
        <f t="array" ref="I46">IF(OR('附件1 伸臂重心計算'!$D25&gt;'附件1 伸臂重心計算'!$L$4,'附件1 伸臂重心計算'!I$6&gt;'附件1 伸臂重心計算'!$L$7),"",SUM('附件1 伸臂重心計算'!$E$4:I4*'附件1 伸臂重心計算'!$E25:I25)-'附件1 伸臂重心計算'!I$4)</f>
        <v/>
      </c>
      <c r="J46" s="66" t="str">
        <f t="array" ref="J46">IF(OR('附件1 伸臂重心計算'!$D25&gt;'附件1 伸臂重心計算'!$L$4,'附件1 伸臂重心計算'!J$6&gt;'附件1 伸臂重心計算'!$L$7),"",SUM('附件1 伸臂重心計算'!$E$4:J4*'附件1 伸臂重心計算'!$E25:J25)-'附件1 伸臂重心計算'!J$4)</f>
        <v/>
      </c>
      <c r="K46" s="134"/>
      <c r="L46" s="170" t="str">
        <f>IF('附件1 伸臂重心計算'!D25&lt;='附件1 伸臂重心計算'!$L$4,'附件1 伸臂重心計算'!D25&amp;"節時前端等價質量","")</f>
        <v>6節時前端等價質量</v>
      </c>
    </row>
    <row r="47" spans="1:12" x14ac:dyDescent="0.25">
      <c r="A47" s="133" t="s">
        <v>146</v>
      </c>
      <c r="B47" s="134"/>
      <c r="C47" s="134"/>
      <c r="D47" s="134"/>
      <c r="E47" s="62">
        <f t="array" ref="E47">IF(OR('附件1 伸臂重心計算'!$D25&gt;'附件1 伸臂重心計算'!$L$4,'附件1 伸臂重心計算'!E$6&gt;'附件1 伸臂重心計算'!$L$7),"",SUM('附件1 伸臂重心計算'!$E$4:F4*'附件1 伸臂重心計算'!$E25:F25))</f>
        <v>633</v>
      </c>
      <c r="F47" s="62">
        <f t="array" ref="F47">IF(OR('附件1 伸臂重心計算'!$D25&gt;'附件1 伸臂重心計算'!$L$4,'附件1 伸臂重心計算'!F$6&gt;'附件1 伸臂重心計算'!$L$7),"",SUM('附件1 伸臂重心計算'!$E$4:G4*'附件1 伸臂重心計算'!$E25:G25))</f>
        <v>872</v>
      </c>
      <c r="G47" s="62">
        <f t="array" ref="G47">IF(OR('附件1 伸臂重心計算'!$D25&gt;'附件1 伸臂重心計算'!$L$4,'附件1 伸臂重心計算'!G$6&gt;'附件1 伸臂重心計算'!$L$7),"",SUM('附件1 伸臂重心計算'!$E$4:H4*'附件1 伸臂重心計算'!$E25:H25))</f>
        <v>1105</v>
      </c>
      <c r="H47" s="62" t="str">
        <f t="array" ref="H47">IF(OR('附件1 伸臂重心計算'!$D25&gt;'附件1 伸臂重心計算'!$L$4,'附件1 伸臂重心計算'!H$6&gt;'附件1 伸臂重心計算'!$L$7),"",SUM('附件1 伸臂重心計算'!$E$4:I4*'附件1 伸臂重心計算'!$E25:I25))</f>
        <v/>
      </c>
      <c r="I47" s="62" t="str">
        <f t="array" ref="I47">IF(OR('附件1 伸臂重心計算'!$D25&gt;'附件1 伸臂重心計算'!$L$4,'附件1 伸臂重心計算'!I$6&gt;'附件1 伸臂重心計算'!$L$7),"",SUM('附件1 伸臂重心計算'!$E$4:J4*'附件1 伸臂重心計算'!$E25:J25))</f>
        <v/>
      </c>
      <c r="J47" s="62" t="str">
        <f t="array" ref="J47">IF(OR('附件1 伸臂重心計算'!$D25&gt;'附件1 伸臂重心計算'!$L$4,'附件1 伸臂重心計算'!J$6&gt;'附件1 伸臂重心計算'!$L$7),"",SUM('附件1 伸臂重心計算'!$E$4:K4*'附件1 伸臂重心計算'!$E25:K25))</f>
        <v/>
      </c>
      <c r="K47" s="134"/>
      <c r="L47" s="178"/>
    </row>
    <row r="48" spans="1:12" ht="17.25" thickBot="1" x14ac:dyDescent="0.3">
      <c r="A48" s="180" t="s">
        <v>152</v>
      </c>
      <c r="B48" s="179"/>
      <c r="C48" s="179"/>
      <c r="D48" s="179"/>
      <c r="E48" s="65">
        <f>IF(E47="","",IF(E47&gt;='附件1 伸臂重心計算'!$L26,IF(E46&gt;'附件1 伸臂重心計算'!$L26,E47-E46,E47-'附件1 伸臂重心計算'!$L26),0))</f>
        <v>35.803803803803817</v>
      </c>
      <c r="F48" s="65">
        <f>IF(F47="","",IF(F47&gt;='附件1 伸臂重心計算'!$L26,IF(F46&gt;'附件1 伸臂重心計算'!$L26,F47-F46,F47-'附件1 伸臂重心計算'!$L26),0))</f>
        <v>274.80380380380382</v>
      </c>
      <c r="G48" s="65">
        <f>IF(G47="","",IF(G47&gt;='附件1 伸臂重心計算'!$L26,IF(G46&gt;'附件1 伸臂重心計算'!$L26,G47-G46,G47-'附件1 伸臂重心計算'!$L26),0))</f>
        <v>472</v>
      </c>
      <c r="H48" s="65" t="str">
        <f>IF(H47="","",IF(H47&gt;='附件1 伸臂重心計算'!$L26,IF(H46&gt;'附件1 伸臂重心計算'!$L26,H47-H46,H47-'附件1 伸臂重心計算'!$L26),0))</f>
        <v/>
      </c>
      <c r="I48" s="65" t="str">
        <f>IF(I47="","",IF(I47&gt;='附件1 伸臂重心計算'!$L26,IF(I46&gt;'附件1 伸臂重心計算'!$L26,I47-I46,I47-'附件1 伸臂重心計算'!$L26),0))</f>
        <v/>
      </c>
      <c r="J48" s="65" t="str">
        <f>IF(J47="","",IF(J47&gt;='附件1 伸臂重心計算'!$L26,IF(J46&gt;'附件1 伸臂重心計算'!$L26,J24-J46,J24-'附件1 伸臂重心計算'!$L26),0))</f>
        <v/>
      </c>
      <c r="K48" s="134"/>
      <c r="L48" s="70">
        <f t="array" ref="L48">SUM(IF(ISERROR(E48:J48/(E47:J47-E46:J46)*'附件1 伸臂重心計算'!$E$7:$H$8),0,E48:J48/(E47:J47-E46:J46)*'附件1 伸臂重心計算'!$E$7:$H$8))</f>
        <v>50.761789899408754</v>
      </c>
    </row>
    <row r="49" spans="1:12" x14ac:dyDescent="0.25">
      <c r="A49" s="143" t="s">
        <v>147</v>
      </c>
      <c r="B49" s="144"/>
      <c r="C49" s="144"/>
      <c r="D49" s="144"/>
      <c r="E49" s="69" t="str">
        <f t="array" ref="E49">IF(OR('附件1 伸臂重心計算'!$D28&gt;'附件1 伸臂重心計算'!$L$4,'附件1 伸臂重心計算'!E$6&gt;'附件1 伸臂重心計算'!$L$7),"",SUM('附件1 伸臂重心計算'!$E$4:E4*'附件1 伸臂重心計算'!$E28:E28)-'附件1 伸臂重心計算'!E$4)</f>
        <v/>
      </c>
      <c r="F49" s="69" t="str">
        <f t="array" ref="F49">IF(OR('附件1 伸臂重心計算'!$D28&gt;'附件1 伸臂重心計算'!$L$4,'附件1 伸臂重心計算'!F$6&gt;'附件1 伸臂重心計算'!$L$7),"",SUM('附件1 伸臂重心計算'!$E$4:F4*'附件1 伸臂重心計算'!$E28:F28)-'附件1 伸臂重心計算'!F$4)</f>
        <v/>
      </c>
      <c r="G49" s="69" t="str">
        <f t="array" ref="G49">IF(OR('附件1 伸臂重心計算'!$D28&gt;'附件1 伸臂重心計算'!$L$4,'附件1 伸臂重心計算'!G$6&gt;'附件1 伸臂重心計算'!$L$7),"",SUM('附件1 伸臂重心計算'!$E$4:G4*'附件1 伸臂重心計算'!$E28:G28)-'附件1 伸臂重心計算'!G$4)</f>
        <v/>
      </c>
      <c r="H49" s="69" t="str">
        <f t="array" ref="H49">IF(OR('附件1 伸臂重心計算'!$D28&gt;'附件1 伸臂重心計算'!$L$4,'附件1 伸臂重心計算'!H$6&gt;'附件1 伸臂重心計算'!$L$7),"",SUM('附件1 伸臂重心計算'!$E$4:H4*'附件1 伸臂重心計算'!$E28:H28)-'附件1 伸臂重心計算'!H$4)</f>
        <v/>
      </c>
      <c r="I49" s="69" t="str">
        <f t="array" ref="I49">IF(OR('附件1 伸臂重心計算'!$D28&gt;'附件1 伸臂重心計算'!$L$4,'附件1 伸臂重心計算'!I$6&gt;'附件1 伸臂重心計算'!$L$7),"",SUM('附件1 伸臂重心計算'!$E$4:I4*'附件1 伸臂重心計算'!$E28:I28)-'附件1 伸臂重心計算'!I$4)</f>
        <v/>
      </c>
      <c r="J49" s="69" t="str">
        <f t="array" ref="J49">IF(OR('附件1 伸臂重心計算'!$D28&gt;'附件1 伸臂重心計算'!$L$4,'附件1 伸臂重心計算'!J$6&gt;'附件1 伸臂重心計算'!$L$7),"",SUM('附件1 伸臂重心計算'!$E$4:J4*'附件1 伸臂重心計算'!$E28:J28)-'附件1 伸臂重心計算'!J$4)</f>
        <v/>
      </c>
      <c r="K49" s="134"/>
      <c r="L49" s="177" t="str">
        <f>IF('附件1 伸臂重心計算'!D28&lt;='附件1 伸臂重心計算'!$L$4,'附件1 伸臂重心計算'!D28&amp;"節時前端等價質量","")</f>
        <v/>
      </c>
    </row>
    <row r="50" spans="1:12" x14ac:dyDescent="0.25">
      <c r="A50" s="133" t="s">
        <v>148</v>
      </c>
      <c r="B50" s="134"/>
      <c r="C50" s="134"/>
      <c r="D50" s="134"/>
      <c r="E50" s="62" t="str">
        <f t="array" ref="E50">IF(OR('附件1 伸臂重心計算'!$D28&gt;'附件1 伸臂重心計算'!$L$4,'附件1 伸臂重心計算'!E$6&gt;'附件1 伸臂重心計算'!$L$7),"",SUM('附件1 伸臂重心計算'!$E$4:F4*'附件1 伸臂重心計算'!$E28:F28))</f>
        <v/>
      </c>
      <c r="F50" s="62" t="str">
        <f t="array" ref="F50">IF(OR('附件1 伸臂重心計算'!$D28&gt;'附件1 伸臂重心計算'!$L$4,'附件1 伸臂重心計算'!F$6&gt;'附件1 伸臂重心計算'!$L$7),"",SUM('附件1 伸臂重心計算'!$E$4:G4*'附件1 伸臂重心計算'!$E28:G28))</f>
        <v/>
      </c>
      <c r="G50" s="62" t="str">
        <f t="array" ref="G50">IF(OR('附件1 伸臂重心計算'!$D28&gt;'附件1 伸臂重心計算'!$L$4,'附件1 伸臂重心計算'!G$6&gt;'附件1 伸臂重心計算'!$L$7),"",SUM('附件1 伸臂重心計算'!$E$4:H4*'附件1 伸臂重心計算'!$E28:H28))</f>
        <v/>
      </c>
      <c r="H50" s="62" t="str">
        <f t="array" ref="H50">IF(OR('附件1 伸臂重心計算'!$D28&gt;'附件1 伸臂重心計算'!$L$4,'附件1 伸臂重心計算'!H$6&gt;'附件1 伸臂重心計算'!$L$7),"",SUM('附件1 伸臂重心計算'!$E$4:I4*'附件1 伸臂重心計算'!$E28:I28))</f>
        <v/>
      </c>
      <c r="I50" s="62" t="str">
        <f t="array" ref="I50">IF(OR('附件1 伸臂重心計算'!$D28&gt;'附件1 伸臂重心計算'!$L$4,'附件1 伸臂重心計算'!I$6&gt;'附件1 伸臂重心計算'!$L$7),"",SUM('附件1 伸臂重心計算'!$E$4:J4*'附件1 伸臂重心計算'!$E28:J28))</f>
        <v/>
      </c>
      <c r="J50" s="62" t="str">
        <f t="array" ref="J50">IF(OR('附件1 伸臂重心計算'!$D28&gt;'附件1 伸臂重心計算'!$L$4,'附件1 伸臂重心計算'!J$6&gt;'附件1 伸臂重心計算'!$L$7),"",SUM('附件1 伸臂重心計算'!$E$4:K4*'附件1 伸臂重心計算'!$E28:K28))</f>
        <v/>
      </c>
      <c r="K50" s="134"/>
      <c r="L50" s="178"/>
    </row>
    <row r="51" spans="1:12" ht="17.25" thickBot="1" x14ac:dyDescent="0.3">
      <c r="A51" s="154" t="s">
        <v>152</v>
      </c>
      <c r="B51" s="155"/>
      <c r="C51" s="155"/>
      <c r="D51" s="155"/>
      <c r="E51" s="60" t="str">
        <f>IF(E50="","",IF(E50&gt;='附件1 伸臂重心計算'!$L29,IF(E49&gt;'附件1 伸臂重心計算'!$L29,E50-E49,E50-'附件1 伸臂重心計算'!$L29),0))</f>
        <v/>
      </c>
      <c r="F51" s="60" t="str">
        <f>IF(F50="","",IF(F50&gt;='附件1 伸臂重心計算'!$L29,IF(F49&gt;'附件1 伸臂重心計算'!$L29,F50-F49,F50-'附件1 伸臂重心計算'!$L29),0))</f>
        <v/>
      </c>
      <c r="G51" s="60" t="str">
        <f>IF(G50="","",IF(G50&gt;='附件1 伸臂重心計算'!$L29,IF(G49&gt;'附件1 伸臂重心計算'!$L29,G50-G49,G50-'附件1 伸臂重心計算'!$L29),0))</f>
        <v/>
      </c>
      <c r="H51" s="60" t="str">
        <f>IF(H50="","",IF(H50&gt;='附件1 伸臂重心計算'!$L29,IF(H49&gt;'附件1 伸臂重心計算'!$L29,H50-H49,H50-'附件1 伸臂重心計算'!$L29),0))</f>
        <v/>
      </c>
      <c r="I51" s="60" t="str">
        <f>IF(I50="","",IF(I50&gt;='附件1 伸臂重心計算'!$L29,IF(I49&gt;'附件1 伸臂重心計算'!$L29,I50-I49,I50-'附件1 伸臂重心計算'!$L29),0))</f>
        <v/>
      </c>
      <c r="J51" s="60"/>
      <c r="K51" s="155"/>
      <c r="L51" s="61">
        <f t="array" ref="L51">SUM(IF(ISERROR(E51:J51/(E50:J50-E49:J49)*'附件1 伸臂重心計算'!$E$7:$H$8),0,E51:J51/(E50:J50-E49:J49)*'附件1 伸臂重心計算'!$E$7:$H$8))</f>
        <v>0</v>
      </c>
    </row>
    <row r="52" spans="1:12" ht="16.899999999999999" thickTop="1" x14ac:dyDescent="0.6"/>
  </sheetData>
  <sheetProtection password="E0D1" sheet="1" objects="1" scenarios="1"/>
  <mergeCells count="73">
    <mergeCell ref="I29:I30"/>
    <mergeCell ref="G29:G30"/>
    <mergeCell ref="H29:H30"/>
    <mergeCell ref="A31:D31"/>
    <mergeCell ref="A32:D32"/>
    <mergeCell ref="A29:D30"/>
    <mergeCell ref="A11:D11"/>
    <mergeCell ref="A12:D12"/>
    <mergeCell ref="A36:D36"/>
    <mergeCell ref="A37:D37"/>
    <mergeCell ref="A38:D38"/>
    <mergeCell ref="A33:D33"/>
    <mergeCell ref="A34:D34"/>
    <mergeCell ref="A35:D35"/>
    <mergeCell ref="A24:D24"/>
    <mergeCell ref="A13:D13"/>
    <mergeCell ref="A14:D14"/>
    <mergeCell ref="L26:L27"/>
    <mergeCell ref="A25:D25"/>
    <mergeCell ref="A26:D26"/>
    <mergeCell ref="A15:D15"/>
    <mergeCell ref="A16:D16"/>
    <mergeCell ref="A17:D17"/>
    <mergeCell ref="A18:D18"/>
    <mergeCell ref="A19:D19"/>
    <mergeCell ref="A1:D2"/>
    <mergeCell ref="L1:L2"/>
    <mergeCell ref="A3:D3"/>
    <mergeCell ref="L46:L47"/>
    <mergeCell ref="L49:L50"/>
    <mergeCell ref="L43:L44"/>
    <mergeCell ref="A42:D42"/>
    <mergeCell ref="A43:D43"/>
    <mergeCell ref="A44:D44"/>
    <mergeCell ref="A45:D45"/>
    <mergeCell ref="A46:D46"/>
    <mergeCell ref="A47:D47"/>
    <mergeCell ref="A48:D48"/>
    <mergeCell ref="E29:E30"/>
    <mergeCell ref="F29:F30"/>
    <mergeCell ref="A27:D27"/>
    <mergeCell ref="A4:D4"/>
    <mergeCell ref="K4:K5"/>
    <mergeCell ref="A5:D5"/>
    <mergeCell ref="K29:K51"/>
    <mergeCell ref="A49:D49"/>
    <mergeCell ref="A50:D50"/>
    <mergeCell ref="A28:D28"/>
    <mergeCell ref="J29:J30"/>
    <mergeCell ref="A20:D20"/>
    <mergeCell ref="A21:D21"/>
    <mergeCell ref="A22:D22"/>
    <mergeCell ref="A23:D23"/>
    <mergeCell ref="A6:D7"/>
    <mergeCell ref="A8:D8"/>
    <mergeCell ref="A9:D9"/>
    <mergeCell ref="A10:D10"/>
    <mergeCell ref="A51:D51"/>
    <mergeCell ref="L14:L15"/>
    <mergeCell ref="L11:L12"/>
    <mergeCell ref="L8:L9"/>
    <mergeCell ref="L6:L7"/>
    <mergeCell ref="A39:D39"/>
    <mergeCell ref="A40:D40"/>
    <mergeCell ref="A41:D41"/>
    <mergeCell ref="L29:L30"/>
    <mergeCell ref="L31:L32"/>
    <mergeCell ref="L17:L18"/>
    <mergeCell ref="L20:L21"/>
    <mergeCell ref="L23:L24"/>
    <mergeCell ref="L37:L38"/>
    <mergeCell ref="L40:L41"/>
    <mergeCell ref="L34:L35"/>
  </mergeCells>
  <phoneticPr fontId="1" type="noConversion"/>
  <pageMargins left="0.31496062992125984" right="0.31496062992125984" top="0.59055118110236227" bottom="0.59055118110236227" header="0.31496062992125984" footer="0.31496062992125984"/>
  <pageSetup paperSize="9" scale="85" orientation="portrait" r:id="rId1"/>
  <headerFooter>
    <oddHeader>&amp;L&amp;"微軟正黑體,粗體"&amp;14附件2 伸臂重量中之前端等價質量</oddHeader>
    <oddFooter>&amp;C- 4 -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2:X21"/>
  <sheetViews>
    <sheetView zoomScale="70" zoomScaleNormal="70" workbookViewId="0">
      <selection activeCell="O5" sqref="O5:P5"/>
    </sheetView>
  </sheetViews>
  <sheetFormatPr defaultColWidth="4.625" defaultRowHeight="21.75" customHeight="1" x14ac:dyDescent="0.25"/>
  <cols>
    <col min="1" max="9" width="4.625" style="105"/>
    <col min="10" max="10" width="4.625" style="105" customWidth="1"/>
    <col min="11" max="16384" width="4.625" style="105"/>
  </cols>
  <sheetData>
    <row r="2" spans="2:21" ht="21.75" customHeight="1" x14ac:dyDescent="0.25">
      <c r="B2" s="108" t="s">
        <v>200</v>
      </c>
      <c r="C2" s="126" t="s">
        <v>207</v>
      </c>
      <c r="D2" s="126"/>
      <c r="E2" s="126"/>
      <c r="F2" s="126"/>
      <c r="G2" s="126" t="s">
        <v>201</v>
      </c>
      <c r="H2" s="126"/>
      <c r="I2" s="126"/>
      <c r="J2" s="126"/>
      <c r="K2" s="126"/>
      <c r="L2" s="112" t="s">
        <v>202</v>
      </c>
      <c r="M2" s="112"/>
      <c r="N2" s="106" t="s">
        <v>17</v>
      </c>
      <c r="O2" s="200">
        <v>92</v>
      </c>
      <c r="P2" s="200"/>
      <c r="Q2" s="105" t="s">
        <v>80</v>
      </c>
    </row>
    <row r="3" spans="2:21" ht="21.75" customHeight="1" x14ac:dyDescent="0.25">
      <c r="B3" s="108" t="s">
        <v>8</v>
      </c>
      <c r="C3" s="126" t="s">
        <v>207</v>
      </c>
      <c r="D3" s="126"/>
      <c r="E3" s="126"/>
      <c r="F3" s="126"/>
      <c r="G3" s="105" t="s">
        <v>203</v>
      </c>
      <c r="L3" s="112" t="s">
        <v>212</v>
      </c>
      <c r="M3" s="112"/>
      <c r="N3" s="106" t="s">
        <v>17</v>
      </c>
      <c r="O3" s="114">
        <f>安定度計算!L8</f>
        <v>6204</v>
      </c>
      <c r="P3" s="114"/>
      <c r="Q3" s="105" t="s">
        <v>18</v>
      </c>
    </row>
    <row r="4" spans="2:21" ht="21.75" customHeight="1" x14ac:dyDescent="0.6">
      <c r="B4" s="108"/>
      <c r="C4" s="109"/>
      <c r="D4" s="109"/>
      <c r="E4" s="109"/>
      <c r="F4" s="109"/>
      <c r="L4" s="106"/>
      <c r="M4" s="106"/>
      <c r="N4" s="106"/>
      <c r="O4" s="107"/>
      <c r="P4" s="107"/>
    </row>
    <row r="5" spans="2:21" ht="21.75" customHeight="1" x14ac:dyDescent="0.25">
      <c r="B5" s="108" t="s">
        <v>9</v>
      </c>
      <c r="C5" s="111" t="s">
        <v>47</v>
      </c>
      <c r="D5" s="111"/>
      <c r="E5" s="111"/>
      <c r="F5" s="111"/>
      <c r="G5" s="126" t="s">
        <v>201</v>
      </c>
      <c r="H5" s="126"/>
      <c r="I5" s="126"/>
      <c r="J5" s="126"/>
      <c r="K5" s="126"/>
      <c r="L5" s="112" t="s">
        <v>206</v>
      </c>
      <c r="M5" s="112"/>
      <c r="N5" s="106" t="s">
        <v>17</v>
      </c>
      <c r="O5" s="200">
        <v>130.69999999999999</v>
      </c>
      <c r="P5" s="200"/>
      <c r="Q5" s="105" t="s">
        <v>80</v>
      </c>
    </row>
    <row r="6" spans="2:21" ht="21.75" customHeight="1" x14ac:dyDescent="0.25">
      <c r="B6" s="108" t="s">
        <v>10</v>
      </c>
      <c r="C6" s="111" t="s">
        <v>47</v>
      </c>
      <c r="D6" s="111"/>
      <c r="E6" s="111"/>
      <c r="F6" s="111"/>
      <c r="G6" s="105" t="s">
        <v>203</v>
      </c>
      <c r="L6" s="112" t="s">
        <v>211</v>
      </c>
      <c r="M6" s="112"/>
      <c r="N6" s="106" t="s">
        <v>17</v>
      </c>
      <c r="O6" s="114">
        <f>安定度計算!L6</f>
        <v>1187</v>
      </c>
      <c r="P6" s="114"/>
      <c r="Q6" s="105" t="s">
        <v>18</v>
      </c>
    </row>
    <row r="7" spans="2:21" ht="21.75" customHeight="1" x14ac:dyDescent="0.6">
      <c r="B7" s="108"/>
      <c r="L7" s="106"/>
      <c r="M7" s="106"/>
      <c r="N7" s="106"/>
      <c r="O7" s="107"/>
      <c r="P7" s="107"/>
    </row>
    <row r="8" spans="2:21" ht="21.75" customHeight="1" x14ac:dyDescent="0.25">
      <c r="B8" s="108" t="s">
        <v>11</v>
      </c>
      <c r="C8" s="111" t="s">
        <v>209</v>
      </c>
      <c r="D8" s="111"/>
      <c r="E8" s="111"/>
      <c r="F8" s="111"/>
      <c r="G8" s="126" t="s">
        <v>201</v>
      </c>
      <c r="H8" s="126"/>
      <c r="I8" s="126"/>
      <c r="J8" s="126"/>
      <c r="K8" s="126"/>
      <c r="L8" s="112" t="s">
        <v>205</v>
      </c>
      <c r="M8" s="112"/>
      <c r="N8" s="106" t="s">
        <v>17</v>
      </c>
      <c r="O8" s="200">
        <v>261.7</v>
      </c>
      <c r="P8" s="200"/>
      <c r="Q8" s="105" t="s">
        <v>80</v>
      </c>
    </row>
    <row r="9" spans="2:21" ht="21.75" customHeight="1" x14ac:dyDescent="0.25">
      <c r="B9" s="108" t="s">
        <v>12</v>
      </c>
      <c r="C9" s="111" t="s">
        <v>209</v>
      </c>
      <c r="D9" s="111"/>
      <c r="E9" s="111"/>
      <c r="F9" s="111"/>
      <c r="G9" s="105" t="s">
        <v>203</v>
      </c>
      <c r="L9" s="112" t="s">
        <v>210</v>
      </c>
      <c r="M9" s="112"/>
      <c r="N9" s="106" t="s">
        <v>17</v>
      </c>
      <c r="O9" s="114">
        <f>安定度計算!L9</f>
        <v>30</v>
      </c>
      <c r="P9" s="114"/>
      <c r="Q9" s="105" t="s">
        <v>18</v>
      </c>
    </row>
    <row r="10" spans="2:21" ht="21.75" customHeight="1" x14ac:dyDescent="0.6">
      <c r="B10" s="108"/>
      <c r="L10" s="106"/>
      <c r="M10" s="106"/>
      <c r="N10" s="106"/>
      <c r="O10" s="107"/>
      <c r="P10" s="107"/>
    </row>
    <row r="11" spans="2:21" ht="21.75" customHeight="1" x14ac:dyDescent="0.25">
      <c r="B11" s="108" t="s">
        <v>13</v>
      </c>
      <c r="C11" s="111" t="s">
        <v>208</v>
      </c>
      <c r="D11" s="111"/>
      <c r="E11" s="111"/>
      <c r="F11" s="111"/>
      <c r="G11" s="126" t="s">
        <v>201</v>
      </c>
      <c r="H11" s="126"/>
      <c r="I11" s="126"/>
      <c r="J11" s="126"/>
      <c r="K11" s="126"/>
      <c r="L11" s="112" t="s">
        <v>204</v>
      </c>
      <c r="M11" s="112"/>
      <c r="N11" s="106" t="s">
        <v>17</v>
      </c>
      <c r="O11" s="200">
        <v>325.2</v>
      </c>
      <c r="P11" s="200"/>
      <c r="Q11" s="105" t="s">
        <v>80</v>
      </c>
    </row>
    <row r="12" spans="2:21" ht="21.75" customHeight="1" x14ac:dyDescent="0.25">
      <c r="B12" s="108" t="s">
        <v>14</v>
      </c>
      <c r="C12" s="111" t="s">
        <v>208</v>
      </c>
      <c r="D12" s="111"/>
      <c r="E12" s="111"/>
      <c r="F12" s="111"/>
      <c r="G12" s="105" t="s">
        <v>203</v>
      </c>
      <c r="L12" s="112" t="s">
        <v>113</v>
      </c>
      <c r="M12" s="112"/>
      <c r="N12" s="106" t="s">
        <v>17</v>
      </c>
      <c r="O12" s="114">
        <f>安定度計算!L7</f>
        <v>999</v>
      </c>
      <c r="P12" s="114"/>
      <c r="Q12" s="105" t="s">
        <v>18</v>
      </c>
    </row>
    <row r="14" spans="2:21" ht="21.75" customHeight="1" x14ac:dyDescent="0.25">
      <c r="B14" s="116" t="s">
        <v>77</v>
      </c>
      <c r="C14" s="111" t="s">
        <v>215</v>
      </c>
      <c r="D14" s="111"/>
      <c r="E14" s="111"/>
      <c r="F14" s="111"/>
      <c r="G14" s="111"/>
      <c r="H14" s="111"/>
      <c r="I14" s="112" t="s">
        <v>216</v>
      </c>
      <c r="J14" s="112"/>
      <c r="K14" s="112" t="s">
        <v>17</v>
      </c>
      <c r="L14" s="124" t="s">
        <v>218</v>
      </c>
      <c r="M14" s="124"/>
      <c r="N14" s="124"/>
      <c r="O14" s="124"/>
      <c r="P14" s="124"/>
      <c r="Q14" s="124"/>
      <c r="R14" s="124"/>
      <c r="S14" s="124"/>
      <c r="T14" s="124"/>
      <c r="U14" s="124"/>
    </row>
    <row r="15" spans="2:21" ht="21.75" customHeight="1" x14ac:dyDescent="0.25">
      <c r="B15" s="116"/>
      <c r="C15" s="111"/>
      <c r="D15" s="111"/>
      <c r="E15" s="111"/>
      <c r="F15" s="111"/>
      <c r="G15" s="111"/>
      <c r="H15" s="111"/>
      <c r="I15" s="112"/>
      <c r="J15" s="112"/>
      <c r="K15" s="112"/>
      <c r="L15" s="117" t="s">
        <v>219</v>
      </c>
      <c r="M15" s="117"/>
      <c r="N15" s="117"/>
      <c r="O15" s="117"/>
      <c r="P15" s="117"/>
      <c r="Q15" s="117"/>
      <c r="R15" s="117"/>
      <c r="S15" s="117"/>
      <c r="T15" s="117"/>
      <c r="U15" s="117"/>
    </row>
    <row r="17" spans="1:24" ht="21.75" customHeight="1" x14ac:dyDescent="0.25">
      <c r="K17" s="112" t="s">
        <v>17</v>
      </c>
      <c r="L17" s="199" t="str">
        <f>O3&amp;" × "&amp;O2&amp;" + "&amp;O6&amp;" × "&amp;O5&amp;" + "&amp;O9&amp;" × "&amp;O8&amp;" + "&amp;O12&amp;" × "&amp;O11</f>
        <v>6204 × 92 + 1187 × 130.7 + 30 × 261.7 + 999 × 325.2</v>
      </c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</row>
    <row r="18" spans="1:24" ht="21.75" customHeight="1" x14ac:dyDescent="0.25">
      <c r="K18" s="112"/>
      <c r="L18" s="198" t="str">
        <f>O3&amp;" + "&amp;O6&amp;" + "&amp;O9&amp;" + "&amp;O12</f>
        <v>6204 + 1187 + 30 + 999</v>
      </c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</row>
    <row r="20" spans="1:24" ht="21.75" customHeight="1" x14ac:dyDescent="0.6">
      <c r="K20" s="106" t="s">
        <v>17</v>
      </c>
      <c r="L20" s="120">
        <f>(O3*O2+O6*O5+O9*O8+O12*O11)/(O3+O6+O9+O12)</f>
        <v>125.72858669833728</v>
      </c>
      <c r="M20" s="120"/>
      <c r="N20" s="120"/>
      <c r="O20" s="105" t="s">
        <v>80</v>
      </c>
    </row>
    <row r="21" spans="1:24" ht="21.75" customHeight="1" x14ac:dyDescent="0.6">
      <c r="A21" s="106"/>
    </row>
  </sheetData>
  <sheetProtection password="E0D1" sheet="1" objects="1" scenarios="1"/>
  <mergeCells count="38">
    <mergeCell ref="L2:M2"/>
    <mergeCell ref="O2:P2"/>
    <mergeCell ref="G2:K2"/>
    <mergeCell ref="L3:M3"/>
    <mergeCell ref="O3:P3"/>
    <mergeCell ref="G5:K5"/>
    <mergeCell ref="G8:K8"/>
    <mergeCell ref="L5:M5"/>
    <mergeCell ref="O5:P5"/>
    <mergeCell ref="L6:M6"/>
    <mergeCell ref="O6:P6"/>
    <mergeCell ref="L8:M8"/>
    <mergeCell ref="O8:P8"/>
    <mergeCell ref="C9:F9"/>
    <mergeCell ref="C11:F11"/>
    <mergeCell ref="L9:M9"/>
    <mergeCell ref="O9:P9"/>
    <mergeCell ref="G11:K11"/>
    <mergeCell ref="L11:M11"/>
    <mergeCell ref="O11:P11"/>
    <mergeCell ref="C2:F2"/>
    <mergeCell ref="C3:F3"/>
    <mergeCell ref="C5:F5"/>
    <mergeCell ref="C6:F6"/>
    <mergeCell ref="C8:F8"/>
    <mergeCell ref="C12:F12"/>
    <mergeCell ref="L14:U14"/>
    <mergeCell ref="L15:U15"/>
    <mergeCell ref="K14:K15"/>
    <mergeCell ref="I14:J15"/>
    <mergeCell ref="C14:H15"/>
    <mergeCell ref="L12:M12"/>
    <mergeCell ref="O12:P12"/>
    <mergeCell ref="L20:N20"/>
    <mergeCell ref="L18:X18"/>
    <mergeCell ref="L17:X17"/>
    <mergeCell ref="K17:K18"/>
    <mergeCell ref="B14:B15"/>
  </mergeCells>
  <phoneticPr fontId="1" type="noConversion"/>
  <pageMargins left="0.31496062992125984" right="0.31496062992125984" top="0.59055118110236227" bottom="0.59055118110236227" header="0.31496062992125984" footer="0.31496062992125984"/>
  <pageSetup paperSize="9" scale="85" orientation="portrait" r:id="rId1"/>
  <headerFooter>
    <oddHeader>&amp;L&amp;"微軟正黑體,粗體"&amp;14附件3 車台重心高度計算</oddHeader>
    <oddFooter>&amp;C- 5 -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5"/>
  <dimension ref="A1:U197"/>
  <sheetViews>
    <sheetView zoomScale="85" zoomScaleNormal="85" workbookViewId="0">
      <selection activeCell="B80" sqref="B80"/>
    </sheetView>
  </sheetViews>
  <sheetFormatPr defaultColWidth="9" defaultRowHeight="15.75" x14ac:dyDescent="0.25"/>
  <cols>
    <col min="1" max="1" width="9.125" style="78" bestFit="1" customWidth="1"/>
    <col min="2" max="4" width="9.75" style="79" customWidth="1"/>
    <col min="5" max="5" width="10.375" style="79" customWidth="1"/>
    <col min="6" max="6" width="7.375" style="79" customWidth="1"/>
    <col min="7" max="7" width="8.375" style="79" customWidth="1"/>
    <col min="8" max="8" width="11.75" style="79" customWidth="1"/>
    <col min="9" max="9" width="12" style="79" customWidth="1"/>
    <col min="10" max="10" width="10" style="79" customWidth="1"/>
    <col min="11" max="12" width="13.75" style="78" customWidth="1"/>
    <col min="13" max="14" width="9.625" style="78" customWidth="1"/>
    <col min="15" max="15" width="10.25" style="78" customWidth="1"/>
    <col min="16" max="16" width="9.125" style="78" customWidth="1"/>
    <col min="17" max="16384" width="9" style="78"/>
  </cols>
  <sheetData>
    <row r="1" spans="1:21" ht="18.75" customHeight="1" x14ac:dyDescent="0.25">
      <c r="A1" s="201" t="s">
        <v>223</v>
      </c>
      <c r="B1" s="201"/>
      <c r="C1" s="201"/>
      <c r="D1" s="118" t="s">
        <v>222</v>
      </c>
      <c r="E1" s="118"/>
      <c r="F1" s="118"/>
      <c r="G1" s="118"/>
      <c r="H1" s="118"/>
      <c r="I1" s="201" t="s">
        <v>178</v>
      </c>
      <c r="J1" s="201"/>
    </row>
    <row r="2" spans="1:21" x14ac:dyDescent="0.25">
      <c r="A2" s="201"/>
      <c r="B2" s="201"/>
      <c r="C2" s="201"/>
      <c r="D2" s="117" t="s">
        <v>177</v>
      </c>
      <c r="E2" s="117"/>
      <c r="F2" s="117"/>
      <c r="G2" s="117"/>
      <c r="H2" s="117"/>
      <c r="I2" s="201"/>
      <c r="J2" s="201"/>
    </row>
    <row r="3" spans="1:21" ht="18.75" x14ac:dyDescent="0.25">
      <c r="A3" s="78" t="s">
        <v>179</v>
      </c>
      <c r="B3" s="3"/>
      <c r="C3" s="3"/>
    </row>
    <row r="4" spans="1:21" ht="18.75" x14ac:dyDescent="0.25">
      <c r="A4" s="78" t="s">
        <v>191</v>
      </c>
      <c r="B4" s="3"/>
      <c r="C4" s="3"/>
    </row>
    <row r="5" spans="1:21" ht="18.75" x14ac:dyDescent="0.25">
      <c r="A5" s="78" t="s">
        <v>224</v>
      </c>
      <c r="B5" s="3"/>
      <c r="C5" s="3"/>
    </row>
    <row r="6" spans="1:21" ht="15.6" thickBot="1" x14ac:dyDescent="0.6">
      <c r="B6" s="80"/>
      <c r="C6" s="80"/>
    </row>
    <row r="7" spans="1:21" s="81" customFormat="1" ht="49.5" customHeight="1" thickTop="1" x14ac:dyDescent="0.25">
      <c r="A7" s="90" t="s">
        <v>164</v>
      </c>
      <c r="B7" s="91" t="s">
        <v>127</v>
      </c>
      <c r="C7" s="91" t="s">
        <v>171</v>
      </c>
      <c r="D7" s="91" t="s">
        <v>128</v>
      </c>
      <c r="E7" s="91" t="s">
        <v>129</v>
      </c>
      <c r="F7" s="91" t="s">
        <v>130</v>
      </c>
      <c r="G7" s="91" t="s">
        <v>162</v>
      </c>
      <c r="H7" s="91" t="s">
        <v>168</v>
      </c>
      <c r="I7" s="91" t="s">
        <v>194</v>
      </c>
      <c r="J7" s="91" t="s">
        <v>195</v>
      </c>
      <c r="K7" s="91" t="s">
        <v>131</v>
      </c>
      <c r="L7" s="91" t="s">
        <v>132</v>
      </c>
      <c r="M7" s="91" t="s">
        <v>187</v>
      </c>
      <c r="N7" s="91" t="s">
        <v>188</v>
      </c>
      <c r="O7" s="92" t="s">
        <v>184</v>
      </c>
      <c r="P7" s="93" t="s">
        <v>181</v>
      </c>
    </row>
    <row r="8" spans="1:21" x14ac:dyDescent="0.25">
      <c r="A8" s="94" t="s">
        <v>165</v>
      </c>
      <c r="B8" s="82" t="s">
        <v>170</v>
      </c>
      <c r="C8" s="82" t="s">
        <v>172</v>
      </c>
      <c r="D8" s="82" t="s">
        <v>155</v>
      </c>
      <c r="E8" s="82" t="s">
        <v>156</v>
      </c>
      <c r="F8" s="82" t="s">
        <v>157</v>
      </c>
      <c r="G8" s="82" t="s">
        <v>163</v>
      </c>
      <c r="H8" s="82" t="s">
        <v>173</v>
      </c>
      <c r="I8" s="82" t="s">
        <v>169</v>
      </c>
      <c r="J8" s="82" t="s">
        <v>196</v>
      </c>
      <c r="K8" s="82" t="s">
        <v>176</v>
      </c>
      <c r="L8" s="82" t="s">
        <v>175</v>
      </c>
      <c r="M8" s="82" t="s">
        <v>189</v>
      </c>
      <c r="N8" s="82" t="s">
        <v>190</v>
      </c>
      <c r="O8" s="82" t="s">
        <v>182</v>
      </c>
      <c r="P8" s="95" t="s">
        <v>180</v>
      </c>
    </row>
    <row r="9" spans="1:21" x14ac:dyDescent="0.25">
      <c r="A9" s="96" t="s">
        <v>134</v>
      </c>
      <c r="B9" s="97" t="s">
        <v>133</v>
      </c>
      <c r="C9" s="97" t="s">
        <v>133</v>
      </c>
      <c r="D9" s="97" t="s">
        <v>134</v>
      </c>
      <c r="E9" s="97" t="s">
        <v>133</v>
      </c>
      <c r="F9" s="97" t="s">
        <v>133</v>
      </c>
      <c r="G9" s="97" t="s">
        <v>134</v>
      </c>
      <c r="H9" s="97" t="s">
        <v>174</v>
      </c>
      <c r="I9" s="97" t="s">
        <v>134</v>
      </c>
      <c r="J9" s="97" t="s">
        <v>134</v>
      </c>
      <c r="K9" s="97" t="s">
        <v>185</v>
      </c>
      <c r="L9" s="97" t="s">
        <v>186</v>
      </c>
      <c r="M9" s="97" t="s">
        <v>133</v>
      </c>
      <c r="N9" s="97" t="s">
        <v>133</v>
      </c>
      <c r="O9" s="97" t="s">
        <v>186</v>
      </c>
      <c r="P9" s="98"/>
    </row>
    <row r="10" spans="1:21" ht="21.75" customHeight="1" x14ac:dyDescent="0.55000000000000004">
      <c r="A10" s="99">
        <v>393</v>
      </c>
      <c r="B10" s="100">
        <v>3030</v>
      </c>
      <c r="C10" s="84">
        <f>IF(A10="","",安定度計算!$L$9)</f>
        <v>30</v>
      </c>
      <c r="D10" s="101">
        <v>270</v>
      </c>
      <c r="E10" s="84">
        <f>IF(A10="","",安定度計算!$L$8+安定度計算!$L$6)</f>
        <v>7391</v>
      </c>
      <c r="F10" s="84">
        <f>IF(A10="","",安定度計算!$L$7)</f>
        <v>999</v>
      </c>
      <c r="G10" s="84">
        <f>IF(A10="","",安定度計算!$L$14)</f>
        <v>480</v>
      </c>
      <c r="H10" s="85">
        <f>IF(A10="","",IF(ISERROR(ACOS(D10/A10)/PI()*180),"角度異常",ACOS(D10/A10)/PI()*180))</f>
        <v>46.605094764770591</v>
      </c>
      <c r="I10" s="85">
        <f ca="1">IF(A10="","",OFFSET('附件1 伸臂重心計算'!$L$11,(MATCH(A10,'附件1 伸臂重心計算'!$E$3:$K$3,0)-1)*3,0,1,1))</f>
        <v>248.45845845845847</v>
      </c>
      <c r="J10" s="85">
        <f ca="1">IF(A10="","",I10*COS(RADIANS(H10)))</f>
        <v>170.69665084932262</v>
      </c>
      <c r="K10" s="89">
        <f ca="1">IF(A10="","",IF((E10*G10/2-C10*(G10/2)-F10*(I10*COS(RADIANS(H10))))/(D10-G10/2)/1000&lt;0,"無翻倒之虞",(E10*G10/2-C10*(G10/2)-F10*(I10*COS(RADIANS(H10))))/(D10-G10/2)/1000))</f>
        <v>53.203801526717555</v>
      </c>
      <c r="L10" s="87">
        <f ca="1">IF(A10="","",IF(K10="無翻倒之虞","",K10-(B10-C10)/1000))</f>
        <v>50.203801526717555</v>
      </c>
      <c r="M10" s="86">
        <f ca="1">IF(A10="","",OFFSET('附件2 伸臂重量中之前端等價質量'!$L$10,(MATCH(A10,'附件1 伸臂重心計算'!$E$3:$K$3,0)-1)*3,0,1,1))</f>
        <v>466.87079983165358</v>
      </c>
      <c r="N10" s="86">
        <f ca="1">IF(A10="","",OFFSET('附件2 伸臂重量中之前端等價質量'!$L$33,(MATCH(A10,'附件1 伸臂重心計算'!$E$3:$K$3,0)-1)*3,0,1,1))</f>
        <v>61.967875173394354</v>
      </c>
      <c r="O10" s="87">
        <f ca="1">IF(A10="","",(M10+N10)/1000)</f>
        <v>0.52883867500504789</v>
      </c>
      <c r="P10" s="88">
        <f ca="1">IF(A10="","",IF(K10="無翻倒之虞","",(L10+O10+B10/1000)/(O10+B10/1000)))</f>
        <v>15.106793286055977</v>
      </c>
    </row>
    <row r="11" spans="1:21" ht="21.75" customHeight="1" x14ac:dyDescent="0.55000000000000004">
      <c r="A11" s="99">
        <v>393</v>
      </c>
      <c r="B11" s="100">
        <v>3030</v>
      </c>
      <c r="C11" s="84">
        <f>IF(A11="","",安定度計算!$L$9)</f>
        <v>30</v>
      </c>
      <c r="D11" s="101">
        <v>300</v>
      </c>
      <c r="E11" s="84">
        <f>IF(A11="","",安定度計算!$L$8+安定度計算!$L$6)</f>
        <v>7391</v>
      </c>
      <c r="F11" s="84">
        <f>IF(A11="","",安定度計算!$L$7)</f>
        <v>999</v>
      </c>
      <c r="G11" s="84">
        <f>IF(A11="","",安定度計算!$L$14)</f>
        <v>480</v>
      </c>
      <c r="H11" s="85">
        <f t="shared" ref="H11:H65" si="0">IF(A11="","",IF(ISERROR(ACOS(D11/A11)/PI()*180),"角度異常",ACOS(D11/A11)/PI()*180))</f>
        <v>40.238798125924276</v>
      </c>
      <c r="I11" s="85">
        <f ca="1">IF(A11="","",OFFSET('附件1 伸臂重心計算'!$L$11,(MATCH(A11,'附件1 伸臂重心計算'!$E$3:$K$3,0)-1)*3,0,1,1))</f>
        <v>248.45845845845847</v>
      </c>
      <c r="J11" s="85">
        <f t="shared" ref="J11:J65" ca="1" si="1">IF(A11="","",I11*COS(RADIANS(H11)))</f>
        <v>189.66294538813628</v>
      </c>
      <c r="K11" s="89">
        <f t="shared" ref="K11:K65" ca="1" si="2">IF(A11="","",IF((E11*G11/2-C11*(G11/2)-F11*(I11*COS(RADIANS(H11))))/(D11-G11/2)/1000&lt;0,"無翻倒之虞",(E11*G11/2-C11*(G11/2)-F11*(I11*COS(RADIANS(H11))))/(D11-G11/2)/1000))</f>
        <v>26.286111959287531</v>
      </c>
      <c r="L11" s="87">
        <f t="shared" ref="L11:L65" ca="1" si="3">IF(A11="","",IF(K11="無翻倒之虞","",K11-(B11-C11)/1000))</f>
        <v>23.286111959287531</v>
      </c>
      <c r="M11" s="86">
        <f ca="1">IF(A11="","",OFFSET('附件2 伸臂重量中之前端等價質量'!$L$10,(MATCH(A11,'附件1 伸臂重心計算'!$E$3:$K$3,0)-1)*3,0,1,1))</f>
        <v>466.87079983165358</v>
      </c>
      <c r="N11" s="86">
        <f ca="1">IF(A11="","",OFFSET('附件2 伸臂重量中之前端等價質量'!$L$33,(MATCH(A11,'附件1 伸臂重心計算'!$E$3:$K$3,0)-1)*3,0,1,1))</f>
        <v>61.967875173394354</v>
      </c>
      <c r="O11" s="87">
        <f t="shared" ref="O11:O65" ca="1" si="4">IF(A11="","",(M11+N11)/1000)</f>
        <v>0.52883867500504789</v>
      </c>
      <c r="P11" s="88">
        <f t="shared" ref="P11:P65" ca="1" si="5">IF(A11="","",IF(K11="無翻倒之虞","",(L11+O11+B11/1000)/(O11+B11/1000)))</f>
        <v>7.5431771669881904</v>
      </c>
    </row>
    <row r="12" spans="1:21" ht="21.75" customHeight="1" x14ac:dyDescent="0.55000000000000004">
      <c r="A12" s="99">
        <v>393</v>
      </c>
      <c r="B12" s="100">
        <v>3030</v>
      </c>
      <c r="C12" s="84">
        <f>IF(A12="","",安定度計算!$L$9)</f>
        <v>30</v>
      </c>
      <c r="D12" s="101">
        <v>360</v>
      </c>
      <c r="E12" s="84">
        <f>IF(A12="","",安定度計算!$L$8+安定度計算!$L$6)</f>
        <v>7391</v>
      </c>
      <c r="F12" s="84">
        <f>IF(A12="","",安定度計算!$L$7)</f>
        <v>999</v>
      </c>
      <c r="G12" s="84">
        <f>IF(A12="","",安定度計算!$L$14)</f>
        <v>480</v>
      </c>
      <c r="H12" s="85">
        <f t="shared" si="0"/>
        <v>23.647496918497925</v>
      </c>
      <c r="I12" s="85">
        <f ca="1">IF(A12="","",OFFSET('附件1 伸臂重心計算'!$L$11,(MATCH(A12,'附件1 伸臂重心計算'!$E$3:$K$3,0)-1)*3,0,1,1))</f>
        <v>248.45845845845847</v>
      </c>
      <c r="J12" s="85">
        <f t="shared" ca="1" si="1"/>
        <v>227.59553446576348</v>
      </c>
      <c r="K12" s="89">
        <f t="shared" ca="1" si="2"/>
        <v>12.827267175572519</v>
      </c>
      <c r="L12" s="87">
        <f t="shared" ca="1" si="3"/>
        <v>9.8272671755725192</v>
      </c>
      <c r="M12" s="86">
        <f ca="1">IF(A12="","",OFFSET('附件2 伸臂重量中之前端等價質量'!$L$10,(MATCH(A12,'附件1 伸臂重心計算'!$E$3:$K$3,0)-1)*3,0,1,1))</f>
        <v>466.87079983165358</v>
      </c>
      <c r="N12" s="86">
        <f ca="1">IF(A12="","",OFFSET('附件2 伸臂重量中之前端等價質量'!$L$33,(MATCH(A12,'附件1 伸臂重心計算'!$E$3:$K$3,0)-1)*3,0,1,1))</f>
        <v>61.967875173394354</v>
      </c>
      <c r="O12" s="87">
        <f t="shared" ca="1" si="4"/>
        <v>0.52883867500504789</v>
      </c>
      <c r="P12" s="88">
        <f t="shared" ca="1" si="5"/>
        <v>3.7613691074542963</v>
      </c>
    </row>
    <row r="13" spans="1:21" ht="21.75" customHeight="1" x14ac:dyDescent="0.55000000000000004">
      <c r="A13" s="99">
        <v>633</v>
      </c>
      <c r="B13" s="100">
        <v>3030</v>
      </c>
      <c r="C13" s="84">
        <f>IF(A13="","",安定度計算!$L$9)</f>
        <v>30</v>
      </c>
      <c r="D13" s="101">
        <v>270</v>
      </c>
      <c r="E13" s="84">
        <f>IF(A13="","",安定度計算!$L$8+安定度計算!$L$6)</f>
        <v>7391</v>
      </c>
      <c r="F13" s="84">
        <f>IF(A13="","",安定度計算!$L$7)</f>
        <v>999</v>
      </c>
      <c r="G13" s="84">
        <f>IF(A13="","",安定度計算!$L$14)</f>
        <v>480</v>
      </c>
      <c r="H13" s="85">
        <f t="shared" si="0"/>
        <v>64.751802599422561</v>
      </c>
      <c r="I13" s="85">
        <f ca="1">IF(A13="","",OFFSET('附件1 伸臂重心計算'!$L$11,(MATCH(A13,'附件1 伸臂重心計算'!$E$3:$K$3,0)-1)*3,0,1,1))</f>
        <v>414.82482482482482</v>
      </c>
      <c r="J13" s="85">
        <f t="shared" ca="1" si="1"/>
        <v>176.93949874044662</v>
      </c>
      <c r="K13" s="89">
        <f t="shared" ca="1" si="2"/>
        <v>52.995914691943121</v>
      </c>
      <c r="L13" s="87">
        <f t="shared" ca="1" si="3"/>
        <v>49.995914691943121</v>
      </c>
      <c r="M13" s="86">
        <f ca="1">IF(A13="","",OFFSET('附件2 伸臂重量中之前端等價質量'!$L$10,(MATCH(A13,'附件1 伸臂重心計算'!$E$3:$K$3,0)-1)*3,0,1,1))</f>
        <v>550.37569541208745</v>
      </c>
      <c r="N13" s="86">
        <f ca="1">IF(A13="","",OFFSET('附件2 伸臂重量中之前端等價質量'!$L$33,(MATCH(A13,'附件1 伸臂重心計算'!$E$3:$K$3,0)-1)*3,0,1,1))</f>
        <v>81.538477691238995</v>
      </c>
      <c r="O13" s="87">
        <f t="shared" ca="1" si="4"/>
        <v>0.63191417310332643</v>
      </c>
      <c r="P13" s="88">
        <f t="shared" ca="1" si="5"/>
        <v>14.652945516626779</v>
      </c>
    </row>
    <row r="14" spans="1:21" ht="21.75" customHeight="1" x14ac:dyDescent="0.55000000000000004">
      <c r="A14" s="99">
        <v>633</v>
      </c>
      <c r="B14" s="100">
        <v>3030</v>
      </c>
      <c r="C14" s="84">
        <f>IF(A14="","",安定度計算!$L$9)</f>
        <v>30</v>
      </c>
      <c r="D14" s="101">
        <v>300</v>
      </c>
      <c r="E14" s="84">
        <f>IF(A14="","",安定度計算!$L$8+安定度計算!$L$6)</f>
        <v>7391</v>
      </c>
      <c r="F14" s="84">
        <f>IF(A14="","",安定度計算!$L$7)</f>
        <v>999</v>
      </c>
      <c r="G14" s="84">
        <f>IF(A14="","",安定度計算!$L$14)</f>
        <v>480</v>
      </c>
      <c r="H14" s="85">
        <f t="shared" si="0"/>
        <v>61.710057275583864</v>
      </c>
      <c r="I14" s="85">
        <f ca="1">IF(A14="","",OFFSET('附件1 伸臂重心計算'!$L$11,(MATCH(A14,'附件1 伸臂重心計算'!$E$3:$K$3,0)-1)*3,0,1,1))</f>
        <v>414.82482482482482</v>
      </c>
      <c r="J14" s="85">
        <f t="shared" ca="1" si="1"/>
        <v>196.59944304494076</v>
      </c>
      <c r="K14" s="89">
        <f t="shared" ca="1" si="2"/>
        <v>26.170619273301739</v>
      </c>
      <c r="L14" s="87">
        <f t="shared" ca="1" si="3"/>
        <v>23.170619273301739</v>
      </c>
      <c r="M14" s="86">
        <f ca="1">IF(A14="","",OFFSET('附件2 伸臂重量中之前端等價質量'!$L$10,(MATCH(A14,'附件1 伸臂重心計算'!$E$3:$K$3,0)-1)*3,0,1,1))</f>
        <v>550.37569541208745</v>
      </c>
      <c r="N14" s="86">
        <f ca="1">IF(A14="","",OFFSET('附件2 伸臂重量中之前端等價質量'!$L$33,(MATCH(A14,'附件1 伸臂重心計算'!$E$3:$K$3,0)-1)*3,0,1,1))</f>
        <v>81.538477691238995</v>
      </c>
      <c r="O14" s="87">
        <f t="shared" ca="1" si="4"/>
        <v>0.63191417310332643</v>
      </c>
      <c r="P14" s="88">
        <f t="shared" ca="1" si="5"/>
        <v>7.3274610430493965</v>
      </c>
    </row>
    <row r="15" spans="1:21" ht="21.75" customHeight="1" x14ac:dyDescent="0.55000000000000004">
      <c r="A15" s="99">
        <v>633</v>
      </c>
      <c r="B15" s="100">
        <v>3030</v>
      </c>
      <c r="C15" s="84">
        <f>IF(A15="","",安定度計算!$L$9)</f>
        <v>30</v>
      </c>
      <c r="D15" s="101">
        <v>390</v>
      </c>
      <c r="E15" s="84">
        <f>IF(A15="","",安定度計算!$L$8+安定度計算!$L$6)</f>
        <v>7391</v>
      </c>
      <c r="F15" s="84">
        <f>IF(A15="","",安定度計算!$L$7)</f>
        <v>999</v>
      </c>
      <c r="G15" s="84">
        <f>IF(A15="","",安定度計算!$L$14)</f>
        <v>480</v>
      </c>
      <c r="H15" s="85">
        <f t="shared" si="0"/>
        <v>51.967108438135632</v>
      </c>
      <c r="I15" s="85">
        <f ca="1">IF(A15="","",OFFSET('附件1 伸臂重心計算'!$L$11,(MATCH(A15,'附件1 伸臂重心計算'!$E$3:$K$3,0)-1)*3,0,1,1))</f>
        <v>414.82482482482482</v>
      </c>
      <c r="J15" s="85">
        <f t="shared" ca="1" si="1"/>
        <v>255.5792759584229</v>
      </c>
      <c r="K15" s="89">
        <f t="shared" ca="1" si="2"/>
        <v>10.075442022116903</v>
      </c>
      <c r="L15" s="87">
        <f t="shared" ca="1" si="3"/>
        <v>7.0754420221169028</v>
      </c>
      <c r="M15" s="86">
        <f ca="1">IF(A15="","",OFFSET('附件2 伸臂重量中之前端等價質量'!$L$10,(MATCH(A15,'附件1 伸臂重心計算'!$E$3:$K$3,0)-1)*3,0,1,1))</f>
        <v>550.37569541208745</v>
      </c>
      <c r="N15" s="86">
        <f ca="1">IF(A15="","",OFFSET('附件2 伸臂重量中之前端等價質量'!$L$33,(MATCH(A15,'附件1 伸臂重心計算'!$E$3:$K$3,0)-1)*3,0,1,1))</f>
        <v>81.538477691238995</v>
      </c>
      <c r="O15" s="87">
        <f t="shared" ca="1" si="4"/>
        <v>0.63191417310332643</v>
      </c>
      <c r="P15" s="88">
        <f t="shared" ca="1" si="5"/>
        <v>2.9321703589029635</v>
      </c>
    </row>
    <row r="16" spans="1:21" ht="21.75" customHeight="1" x14ac:dyDescent="0.55000000000000004">
      <c r="A16" s="99">
        <v>633</v>
      </c>
      <c r="B16" s="100">
        <v>2430</v>
      </c>
      <c r="C16" s="84">
        <f>IF(A16="","",安定度計算!$L$9)</f>
        <v>30</v>
      </c>
      <c r="D16" s="101">
        <v>450</v>
      </c>
      <c r="E16" s="84">
        <f>IF(A16="","",安定度計算!$L$8+安定度計算!$L$6)</f>
        <v>7391</v>
      </c>
      <c r="F16" s="84">
        <f>IF(A16="","",安定度計算!$L$7)</f>
        <v>999</v>
      </c>
      <c r="G16" s="84">
        <f>IF(A16="","",安定度計算!$L$14)</f>
        <v>480</v>
      </c>
      <c r="H16" s="85">
        <f t="shared" si="0"/>
        <v>44.691772333364369</v>
      </c>
      <c r="I16" s="85">
        <f ca="1">IF(A16="","",OFFSET('附件1 伸臂重心計算'!$L$11,(MATCH(A16,'附件1 伸臂重心計算'!$E$3:$K$3,0)-1)*3,0,1,1))</f>
        <v>414.82482482482482</v>
      </c>
      <c r="J16" s="85">
        <f t="shared" ca="1" si="1"/>
        <v>294.89916456741099</v>
      </c>
      <c r="K16" s="89">
        <f t="shared" ca="1" si="2"/>
        <v>7.0096939742721727</v>
      </c>
      <c r="L16" s="87">
        <f t="shared" ca="1" si="3"/>
        <v>4.6096939742721723</v>
      </c>
      <c r="M16" s="86">
        <f ca="1">IF(A16="","",OFFSET('附件2 伸臂重量中之前端等價質量'!$L$10,(MATCH(A16,'附件1 伸臂重心計算'!$E$3:$K$3,0)-1)*3,0,1,1))</f>
        <v>550.37569541208745</v>
      </c>
      <c r="N16" s="86">
        <f ca="1">IF(A16="","",OFFSET('附件2 伸臂重量中之前端等價質量'!$L$33,(MATCH(A16,'附件1 伸臂重心計算'!$E$3:$K$3,0)-1)*3,0,1,1))</f>
        <v>81.538477691238995</v>
      </c>
      <c r="O16" s="87">
        <f t="shared" ca="1" si="4"/>
        <v>0.63191417310332643</v>
      </c>
      <c r="P16" s="88">
        <f t="shared" ca="1" si="5"/>
        <v>2.5054941822879813</v>
      </c>
      <c r="U16" s="104"/>
    </row>
    <row r="17" spans="1:16" ht="21.75" customHeight="1" x14ac:dyDescent="0.55000000000000004">
      <c r="A17" s="99">
        <v>633</v>
      </c>
      <c r="B17" s="100">
        <v>2130</v>
      </c>
      <c r="C17" s="84">
        <f>IF(A17="","",安定度計算!$L$9)</f>
        <v>30</v>
      </c>
      <c r="D17" s="101">
        <v>500</v>
      </c>
      <c r="E17" s="84">
        <f>IF(A17="","",安定度計算!$L$8+安定度計算!$L$6)</f>
        <v>7391</v>
      </c>
      <c r="F17" s="84">
        <f>IF(A17="","",安定度計算!$L$7)</f>
        <v>999</v>
      </c>
      <c r="G17" s="84">
        <f>IF(A17="","",安定度計算!$L$14)</f>
        <v>480</v>
      </c>
      <c r="H17" s="85">
        <f t="shared" si="0"/>
        <v>37.824821599157445</v>
      </c>
      <c r="I17" s="85">
        <f ca="1">IF(A17="","",OFFSET('附件1 伸臂重心計算'!$L$11,(MATCH(A17,'附件1 伸臂重心計算'!$E$3:$K$3,0)-1)*3,0,1,1))</f>
        <v>414.82482482482482</v>
      </c>
      <c r="J17" s="85">
        <f t="shared" ca="1" si="1"/>
        <v>327.66573840823452</v>
      </c>
      <c r="K17" s="89">
        <f t="shared" ca="1" si="2"/>
        <v>5.5357766435775915</v>
      </c>
      <c r="L17" s="87">
        <f t="shared" ca="1" si="3"/>
        <v>3.4357766435775914</v>
      </c>
      <c r="M17" s="86">
        <f ca="1">IF(A17="","",OFFSET('附件2 伸臂重量中之前端等價質量'!$L$10,(MATCH(A17,'附件1 伸臂重心計算'!$E$3:$K$3,0)-1)*3,0,1,1))</f>
        <v>550.37569541208745</v>
      </c>
      <c r="N17" s="86">
        <f ca="1">IF(A17="","",OFFSET('附件2 伸臂重量中之前端等價質量'!$L$33,(MATCH(A17,'附件1 伸臂重心計算'!$E$3:$K$3,0)-1)*3,0,1,1))</f>
        <v>81.538477691238995</v>
      </c>
      <c r="O17" s="87">
        <f t="shared" ca="1" si="4"/>
        <v>0.63191417310332643</v>
      </c>
      <c r="P17" s="88">
        <f t="shared" ca="1" si="5"/>
        <v>2.2439838562098049</v>
      </c>
    </row>
    <row r="18" spans="1:16" ht="21.75" customHeight="1" x14ac:dyDescent="0.55000000000000004">
      <c r="A18" s="99">
        <v>872</v>
      </c>
      <c r="B18" s="100">
        <v>3030</v>
      </c>
      <c r="C18" s="84">
        <f>IF(A18="","",安定度計算!$L$9)</f>
        <v>30</v>
      </c>
      <c r="D18" s="101">
        <v>270</v>
      </c>
      <c r="E18" s="84">
        <f>IF(A18="","",安定度計算!$L$8+安定度計算!$L$6)</f>
        <v>7391</v>
      </c>
      <c r="F18" s="84">
        <f>IF(A18="","",安定度計算!$L$7)</f>
        <v>999</v>
      </c>
      <c r="G18" s="84">
        <f>IF(A18="","",安定度計算!$L$14)</f>
        <v>480</v>
      </c>
      <c r="H18" s="85">
        <f t="shared" si="0"/>
        <v>71.962883575990475</v>
      </c>
      <c r="I18" s="85">
        <f ca="1">IF(A18="","",OFFSET('附件1 伸臂重心計算'!$L$11,(MATCH(A18,'附件1 伸臂重心計算'!$E$3:$K$3,0)-1)*3,0,1,1))</f>
        <v>528.46346346346343</v>
      </c>
      <c r="J18" s="85">
        <f t="shared" ca="1" si="1"/>
        <v>163.62974212744859</v>
      </c>
      <c r="K18" s="89">
        <f t="shared" ca="1" si="2"/>
        <v>53.439129587155961</v>
      </c>
      <c r="L18" s="87">
        <f t="shared" ca="1" si="3"/>
        <v>50.439129587155961</v>
      </c>
      <c r="M18" s="86">
        <f ca="1">IF(A18="","",OFFSET('附件2 伸臂重量中之前端等價質量'!$L$10,(MATCH(A18,'附件1 伸臂重心計算'!$E$3:$K$3,0)-1)*3,0,1,1))</f>
        <v>502.8688688688689</v>
      </c>
      <c r="N18" s="86">
        <f ca="1">IF(A18="","",OFFSET('附件2 伸臂重量中之前端等價質量'!$L$33,(MATCH(A18,'附件1 伸臂重心計算'!$E$3:$K$3,0)-1)*3,0,1,1))</f>
        <v>63.838615807627079</v>
      </c>
      <c r="O18" s="87">
        <f t="shared" ca="1" si="4"/>
        <v>0.5667074846764959</v>
      </c>
      <c r="P18" s="88">
        <f t="shared" ca="1" si="5"/>
        <v>15.023695227384524</v>
      </c>
    </row>
    <row r="19" spans="1:16" ht="21.75" customHeight="1" x14ac:dyDescent="0.55000000000000004">
      <c r="A19" s="99">
        <v>872</v>
      </c>
      <c r="B19" s="100">
        <v>3030</v>
      </c>
      <c r="C19" s="84">
        <f>IF(A19="","",安定度計算!$L$9)</f>
        <v>30</v>
      </c>
      <c r="D19" s="101">
        <v>300</v>
      </c>
      <c r="E19" s="84">
        <f>IF(A19="","",安定度計算!$L$8+安定度計算!$L$6)</f>
        <v>7391</v>
      </c>
      <c r="F19" s="84">
        <f>IF(A19="","",安定度計算!$L$7)</f>
        <v>999</v>
      </c>
      <c r="G19" s="84">
        <f>IF(A19="","",安定度計算!$L$14)</f>
        <v>480</v>
      </c>
      <c r="H19" s="85">
        <f t="shared" si="0"/>
        <v>69.876996719065261</v>
      </c>
      <c r="I19" s="85">
        <f ca="1">IF(A19="","",OFFSET('附件1 伸臂重心計算'!$L$11,(MATCH(A19,'附件1 伸臂重心計算'!$E$3:$K$3,0)-1)*3,0,1,1))</f>
        <v>528.46346346346343</v>
      </c>
      <c r="J19" s="85">
        <f t="shared" ca="1" si="1"/>
        <v>181.81082458605397</v>
      </c>
      <c r="K19" s="89">
        <f t="shared" ca="1" si="2"/>
        <v>26.416849770642198</v>
      </c>
      <c r="L19" s="87">
        <f t="shared" ca="1" si="3"/>
        <v>23.416849770642198</v>
      </c>
      <c r="M19" s="86">
        <f ca="1">IF(A19="","",OFFSET('附件2 伸臂重量中之前端等價質量'!$L$10,(MATCH(A19,'附件1 伸臂重心計算'!$E$3:$K$3,0)-1)*3,0,1,1))</f>
        <v>502.8688688688689</v>
      </c>
      <c r="N19" s="86">
        <f ca="1">IF(A19="","",OFFSET('附件2 伸臂重量中之前端等價質量'!$L$33,(MATCH(A19,'附件1 伸臂重心計算'!$E$3:$K$3,0)-1)*3,0,1,1))</f>
        <v>63.838615807627079</v>
      </c>
      <c r="O19" s="87">
        <f t="shared" ca="1" si="4"/>
        <v>0.5667074846764959</v>
      </c>
      <c r="P19" s="88">
        <f t="shared" ca="1" si="5"/>
        <v>7.510635037852798</v>
      </c>
    </row>
    <row r="20" spans="1:16" ht="21.75" customHeight="1" x14ac:dyDescent="0.55000000000000004">
      <c r="A20" s="99">
        <v>872</v>
      </c>
      <c r="B20" s="100">
        <v>3030</v>
      </c>
      <c r="C20" s="84">
        <f>IF(A20="","",安定度計算!$L$9)</f>
        <v>30</v>
      </c>
      <c r="D20" s="101">
        <v>400</v>
      </c>
      <c r="E20" s="84">
        <f>IF(A20="","",安定度計算!$L$8+安定度計算!$L$6)</f>
        <v>7391</v>
      </c>
      <c r="F20" s="84">
        <f>IF(A20="","",安定度計算!$L$7)</f>
        <v>999</v>
      </c>
      <c r="G20" s="84">
        <f>IF(A20="","",安定度計算!$L$14)</f>
        <v>480</v>
      </c>
      <c r="H20" s="85">
        <f t="shared" si="0"/>
        <v>62.695741708031036</v>
      </c>
      <c r="I20" s="85">
        <f ca="1">IF(A20="","",OFFSET('附件1 伸臂重心計算'!$L$11,(MATCH(A20,'附件1 伸臂重心計算'!$E$3:$K$3,0)-1)*3,0,1,1))</f>
        <v>528.46346346346343</v>
      </c>
      <c r="J20" s="85">
        <f t="shared" ca="1" si="1"/>
        <v>242.41443278140528</v>
      </c>
      <c r="K20" s="89">
        <f t="shared" ca="1" si="2"/>
        <v>9.5279248853210987</v>
      </c>
      <c r="L20" s="87">
        <f t="shared" ca="1" si="3"/>
        <v>6.5279248853210987</v>
      </c>
      <c r="M20" s="86">
        <f ca="1">IF(A20="","",OFFSET('附件2 伸臂重量中之前端等價質量'!$L$10,(MATCH(A20,'附件1 伸臂重心計算'!$E$3:$K$3,0)-1)*3,0,1,1))</f>
        <v>502.8688688688689</v>
      </c>
      <c r="N20" s="86">
        <f ca="1">IF(A20="","",OFFSET('附件2 伸臂重量中之前端等價質量'!$L$33,(MATCH(A20,'附件1 伸臂重心計算'!$E$3:$K$3,0)-1)*3,0,1,1))</f>
        <v>63.838615807627079</v>
      </c>
      <c r="O20" s="87">
        <f t="shared" ca="1" si="4"/>
        <v>0.5667074846764959</v>
      </c>
      <c r="P20" s="88">
        <f t="shared" ca="1" si="5"/>
        <v>2.8149724193954708</v>
      </c>
    </row>
    <row r="21" spans="1:16" ht="21.75" customHeight="1" x14ac:dyDescent="0.55000000000000004">
      <c r="A21" s="99">
        <v>872</v>
      </c>
      <c r="B21" s="100">
        <v>2430</v>
      </c>
      <c r="C21" s="84">
        <f>IF(A21="","",安定度計算!$L$9)</f>
        <v>30</v>
      </c>
      <c r="D21" s="101">
        <v>450</v>
      </c>
      <c r="E21" s="84">
        <f>IF(A21="","",安定度計算!$L$8+安定度計算!$L$6)</f>
        <v>7391</v>
      </c>
      <c r="F21" s="84">
        <f>IF(A21="","",安定度計算!$L$7)</f>
        <v>999</v>
      </c>
      <c r="G21" s="84">
        <f>IF(A21="","",安定度計算!$L$14)</f>
        <v>480</v>
      </c>
      <c r="H21" s="85">
        <f t="shared" si="0"/>
        <v>58.931998174038043</v>
      </c>
      <c r="I21" s="85">
        <f ca="1">IF(A21="","",OFFSET('附件1 伸臂重心計算'!$L$11,(MATCH(A21,'附件1 伸臂重心計算'!$E$3:$K$3,0)-1)*3,0,1,1))</f>
        <v>528.46346346346343</v>
      </c>
      <c r="J21" s="85">
        <f t="shared" ca="1" si="1"/>
        <v>272.7162368790809</v>
      </c>
      <c r="K21" s="89">
        <f t="shared" ca="1" si="2"/>
        <v>7.1152213302752285</v>
      </c>
      <c r="L21" s="87">
        <f t="shared" ca="1" si="3"/>
        <v>4.7152213302752291</v>
      </c>
      <c r="M21" s="86">
        <f ca="1">IF(A21="","",OFFSET('附件2 伸臂重量中之前端等價質量'!$L$10,(MATCH(A21,'附件1 伸臂重心計算'!$E$3:$K$3,0)-1)*3,0,1,1))</f>
        <v>502.8688688688689</v>
      </c>
      <c r="N21" s="86">
        <f ca="1">IF(A21="","",OFFSET('附件2 伸臂重量中之前端等價質量'!$L$33,(MATCH(A21,'附件1 伸臂重心計算'!$E$3:$K$3,0)-1)*3,0,1,1))</f>
        <v>63.838615807627079</v>
      </c>
      <c r="O21" s="87">
        <f t="shared" ca="1" si="4"/>
        <v>0.5667074846764959</v>
      </c>
      <c r="P21" s="88">
        <f t="shared" ca="1" si="5"/>
        <v>2.5734673318588022</v>
      </c>
    </row>
    <row r="22" spans="1:16" ht="21.75" customHeight="1" x14ac:dyDescent="0.55000000000000004">
      <c r="A22" s="99">
        <v>872</v>
      </c>
      <c r="B22" s="100">
        <v>2130</v>
      </c>
      <c r="C22" s="84">
        <f>IF(A22="","",安定度計算!$L$9)</f>
        <v>30</v>
      </c>
      <c r="D22" s="101">
        <v>500</v>
      </c>
      <c r="E22" s="84">
        <f>IF(A22="","",安定度計算!$L$8+安定度計算!$L$6)</f>
        <v>7391</v>
      </c>
      <c r="F22" s="84">
        <f>IF(A22="","",安定度計算!$L$7)</f>
        <v>999</v>
      </c>
      <c r="G22" s="84">
        <f>IF(A22="","",安定度計算!$L$14)</f>
        <v>480</v>
      </c>
      <c r="H22" s="85">
        <f t="shared" si="0"/>
        <v>55.012724911751043</v>
      </c>
      <c r="I22" s="85">
        <f ca="1">IF(A22="","",OFFSET('附件1 伸臂重心計算'!$L$11,(MATCH(A22,'附件1 伸臂重心計算'!$E$3:$K$3,0)-1)*3,0,1,1))</f>
        <v>528.46346346346343</v>
      </c>
      <c r="J22" s="85">
        <f t="shared" ca="1" si="1"/>
        <v>303.01804097675648</v>
      </c>
      <c r="K22" s="89">
        <f t="shared" ca="1" si="2"/>
        <v>5.6304806810162313</v>
      </c>
      <c r="L22" s="87">
        <f t="shared" ca="1" si="3"/>
        <v>3.5304806810162312</v>
      </c>
      <c r="M22" s="86">
        <f ca="1">IF(A22="","",OFFSET('附件2 伸臂重量中之前端等價質量'!$L$10,(MATCH(A22,'附件1 伸臂重心計算'!$E$3:$K$3,0)-1)*3,0,1,1))</f>
        <v>502.8688688688689</v>
      </c>
      <c r="N22" s="86">
        <f ca="1">IF(A22="","",OFFSET('附件2 伸臂重量中之前端等價質量'!$L$33,(MATCH(A22,'附件1 伸臂重心計算'!$E$3:$K$3,0)-1)*3,0,1,1))</f>
        <v>63.838615807627079</v>
      </c>
      <c r="O22" s="87">
        <f t="shared" ca="1" si="4"/>
        <v>0.5667074846764959</v>
      </c>
      <c r="P22" s="88">
        <f t="shared" ca="1" si="5"/>
        <v>2.3091819194619685</v>
      </c>
    </row>
    <row r="23" spans="1:16" ht="21.75" customHeight="1" x14ac:dyDescent="0.55000000000000004">
      <c r="A23" s="99">
        <v>872</v>
      </c>
      <c r="B23" s="100">
        <v>1880</v>
      </c>
      <c r="C23" s="84">
        <f>IF(A23="","",安定度計算!$L$9)</f>
        <v>30</v>
      </c>
      <c r="D23" s="101">
        <v>550</v>
      </c>
      <c r="E23" s="84">
        <f>IF(A23="","",安定度計算!$L$8+安定度計算!$L$6)</f>
        <v>7391</v>
      </c>
      <c r="F23" s="84">
        <f>IF(A23="","",安定度計算!$L$7)</f>
        <v>999</v>
      </c>
      <c r="G23" s="84">
        <f>IF(A23="","",安定度計算!$L$14)</f>
        <v>480</v>
      </c>
      <c r="H23" s="85">
        <f t="shared" si="0"/>
        <v>50.895707555542018</v>
      </c>
      <c r="I23" s="85">
        <f ca="1">IF(A23="","",OFFSET('附件1 伸臂重心計算'!$L$11,(MATCH(A23,'附件1 伸臂重心計算'!$E$3:$K$3,0)-1)*3,0,1,1))</f>
        <v>528.46346346346343</v>
      </c>
      <c r="J23" s="85">
        <f t="shared" ca="1" si="1"/>
        <v>333.31984507443224</v>
      </c>
      <c r="K23" s="89">
        <f t="shared" ca="1" si="2"/>
        <v>4.624688628292394</v>
      </c>
      <c r="L23" s="87">
        <f t="shared" ca="1" si="3"/>
        <v>2.7746886282923939</v>
      </c>
      <c r="M23" s="86">
        <f ca="1">IF(A23="","",OFFSET('附件2 伸臂重量中之前端等價質量'!$L$10,(MATCH(A23,'附件1 伸臂重心計算'!$E$3:$K$3,0)-1)*3,0,1,1))</f>
        <v>502.8688688688689</v>
      </c>
      <c r="N23" s="86">
        <f ca="1">IF(A23="","",OFFSET('附件2 伸臂重量中之前端等價質量'!$L$33,(MATCH(A23,'附件1 伸臂重心計算'!$E$3:$K$3,0)-1)*3,0,1,1))</f>
        <v>63.838615807627079</v>
      </c>
      <c r="O23" s="87">
        <f t="shared" ca="1" si="4"/>
        <v>0.5667074846764959</v>
      </c>
      <c r="P23" s="88">
        <f t="shared" ca="1" si="5"/>
        <v>2.1340500021641384</v>
      </c>
    </row>
    <row r="24" spans="1:16" ht="21.75" customHeight="1" x14ac:dyDescent="0.55000000000000004">
      <c r="A24" s="99">
        <v>872</v>
      </c>
      <c r="B24" s="100">
        <v>1630</v>
      </c>
      <c r="C24" s="84">
        <f>IF(A24="","",安定度計算!$L$9)</f>
        <v>30</v>
      </c>
      <c r="D24" s="101">
        <v>600</v>
      </c>
      <c r="E24" s="84">
        <f>IF(A24="","",安定度計算!$L$8+安定度計算!$L$6)</f>
        <v>7391</v>
      </c>
      <c r="F24" s="84">
        <f>IF(A24="","",安定度計算!$L$7)</f>
        <v>999</v>
      </c>
      <c r="G24" s="84">
        <f>IF(A24="","",安定度計算!$L$14)</f>
        <v>480</v>
      </c>
      <c r="H24" s="85">
        <f t="shared" si="0"/>
        <v>46.522205822171529</v>
      </c>
      <c r="I24" s="85">
        <f ca="1">IF(A24="","",OFFSET('附件1 伸臂重心計算'!$L$11,(MATCH(A24,'附件1 伸臂重心計算'!$E$3:$K$3,0)-1)*3,0,1,1))</f>
        <v>528.46346346346343</v>
      </c>
      <c r="J24" s="85">
        <f t="shared" ca="1" si="1"/>
        <v>363.62164917210788</v>
      </c>
      <c r="K24" s="89">
        <f t="shared" ca="1" si="2"/>
        <v>3.8982832568807337</v>
      </c>
      <c r="L24" s="87">
        <f t="shared" ca="1" si="3"/>
        <v>2.2982832568807336</v>
      </c>
      <c r="M24" s="86">
        <f ca="1">IF(A24="","",OFFSET('附件2 伸臂重量中之前端等價質量'!$L$10,(MATCH(A24,'附件1 伸臂重心計算'!$E$3:$K$3,0)-1)*3,0,1,1))</f>
        <v>502.8688688688689</v>
      </c>
      <c r="N24" s="86">
        <f ca="1">IF(A24="","",OFFSET('附件2 伸臂重量中之前端等價質量'!$L$33,(MATCH(A24,'附件1 伸臂重心計算'!$E$3:$K$3,0)-1)*3,0,1,1))</f>
        <v>63.838615807627079</v>
      </c>
      <c r="O24" s="87">
        <f t="shared" ca="1" si="4"/>
        <v>0.5667074846764959</v>
      </c>
      <c r="P24" s="88">
        <f t="shared" ca="1" si="5"/>
        <v>2.0462400082454293</v>
      </c>
    </row>
    <row r="25" spans="1:16" ht="21.75" customHeight="1" x14ac:dyDescent="0.55000000000000004">
      <c r="A25" s="99">
        <v>872</v>
      </c>
      <c r="B25" s="100">
        <v>1330</v>
      </c>
      <c r="C25" s="84">
        <f>IF(A25="","",安定度計算!$L$9)</f>
        <v>30</v>
      </c>
      <c r="D25" s="101">
        <v>700</v>
      </c>
      <c r="E25" s="84">
        <f>IF(A25="","",安定度計算!$L$8+安定度計算!$L$6)</f>
        <v>7391</v>
      </c>
      <c r="F25" s="84">
        <f>IF(A25="","",安定度計算!$L$7)</f>
        <v>999</v>
      </c>
      <c r="G25" s="84">
        <f>IF(A25="","",安定度計算!$L$14)</f>
        <v>480</v>
      </c>
      <c r="H25" s="85">
        <f t="shared" si="0"/>
        <v>36.606263335632875</v>
      </c>
      <c r="I25" s="85">
        <f ca="1">IF(A25="","",OFFSET('附件1 伸臂重心計算'!$L$11,(MATCH(A25,'附件1 伸臂重心計算'!$E$3:$K$3,0)-1)*3,0,1,1))</f>
        <v>528.46346346346343</v>
      </c>
      <c r="J25" s="85">
        <f t="shared" ca="1" si="1"/>
        <v>424.22525736745922</v>
      </c>
      <c r="K25" s="89">
        <f t="shared" ca="1" si="2"/>
        <v>2.9192151475867574</v>
      </c>
      <c r="L25" s="87">
        <f t="shared" ca="1" si="3"/>
        <v>1.6192151475867573</v>
      </c>
      <c r="M25" s="86">
        <f ca="1">IF(A25="","",OFFSET('附件2 伸臂重量中之前端等價質量'!$L$10,(MATCH(A25,'附件1 伸臂重心計算'!$E$3:$K$3,0)-1)*3,0,1,1))</f>
        <v>502.8688688688689</v>
      </c>
      <c r="N25" s="86">
        <f ca="1">IF(A25="","",OFFSET('附件2 伸臂重量中之前端等價質量'!$L$33,(MATCH(A25,'附件1 伸臂重心計算'!$E$3:$K$3,0)-1)*3,0,1,1))</f>
        <v>63.838615807627079</v>
      </c>
      <c r="O25" s="87">
        <f t="shared" ca="1" si="4"/>
        <v>0.5667074846764959</v>
      </c>
      <c r="P25" s="88">
        <f t="shared" ca="1" si="5"/>
        <v>1.8536978741679462</v>
      </c>
    </row>
    <row r="26" spans="1:16" ht="21.75" customHeight="1" x14ac:dyDescent="0.55000000000000004">
      <c r="A26" s="99">
        <v>872</v>
      </c>
      <c r="B26" s="100">
        <v>1030</v>
      </c>
      <c r="C26" s="84">
        <f>IF(A26="","",安定度計算!$L$9)</f>
        <v>30</v>
      </c>
      <c r="D26" s="101">
        <v>848</v>
      </c>
      <c r="E26" s="84">
        <f>IF(A26="","",安定度計算!$L$8+安定度計算!$L$6)</f>
        <v>7391</v>
      </c>
      <c r="F26" s="84">
        <f>IF(A26="","",安定度計算!$L$7)</f>
        <v>999</v>
      </c>
      <c r="G26" s="84">
        <f>IF(A26="","",安定度計算!$L$14)</f>
        <v>480</v>
      </c>
      <c r="H26" s="85">
        <f t="shared" si="0"/>
        <v>13.473677916918723</v>
      </c>
      <c r="I26" s="85">
        <f ca="1">IF(A26="","",OFFSET('附件1 伸臂重心計算'!$L$11,(MATCH(A26,'附件1 伸臂重心計算'!$E$3:$K$3,0)-1)*3,0,1,1))</f>
        <v>528.46346346346343</v>
      </c>
      <c r="J26" s="85">
        <f t="shared" ca="1" si="1"/>
        <v>513.9185974965792</v>
      </c>
      <c r="K26" s="89">
        <f t="shared" ca="1" si="2"/>
        <v>2.0612423044422985</v>
      </c>
      <c r="L26" s="87">
        <f t="shared" ca="1" si="3"/>
        <v>1.0612423044422985</v>
      </c>
      <c r="M26" s="86">
        <f ca="1">IF(A26="","",OFFSET('附件2 伸臂重量中之前端等價質量'!$L$10,(MATCH(A26,'附件1 伸臂重心計算'!$E$3:$K$3,0)-1)*3,0,1,1))</f>
        <v>502.8688688688689</v>
      </c>
      <c r="N26" s="86">
        <f ca="1">IF(A26="","",OFFSET('附件2 伸臂重量中之前端等價質量'!$L$33,(MATCH(A26,'附件1 伸臂重心計算'!$E$3:$K$3,0)-1)*3,0,1,1))</f>
        <v>63.838615807627079</v>
      </c>
      <c r="O26" s="87">
        <f t="shared" ca="1" si="4"/>
        <v>0.5667074846764959</v>
      </c>
      <c r="P26" s="88">
        <f t="shared" ca="1" si="5"/>
        <v>1.6646441597017463</v>
      </c>
    </row>
    <row r="27" spans="1:16" ht="21.75" customHeight="1" x14ac:dyDescent="0.55000000000000004">
      <c r="A27" s="99">
        <v>1105</v>
      </c>
      <c r="B27" s="100">
        <v>2030</v>
      </c>
      <c r="C27" s="84">
        <f>IF(A27="","",安定度計算!$L$9)</f>
        <v>30</v>
      </c>
      <c r="D27" s="101">
        <v>400</v>
      </c>
      <c r="E27" s="84">
        <f>IF(A27="","",安定度計算!$L$8+安定度計算!$L$6)</f>
        <v>7391</v>
      </c>
      <c r="F27" s="84">
        <f>IF(A27="","",安定度計算!$L$7)</f>
        <v>999</v>
      </c>
      <c r="G27" s="84">
        <f>IF(A27="","",安定度計算!$L$14)</f>
        <v>480</v>
      </c>
      <c r="H27" s="85">
        <f t="shared" si="0"/>
        <v>68.777482462026299</v>
      </c>
      <c r="I27" s="85">
        <f ca="1">IF(A27="","",OFFSET('附件1 伸臂重心計算'!$L$11,(MATCH(A27,'附件1 伸臂重心計算'!$E$3:$K$3,0)-1)*3,0,1,1))</f>
        <v>573.01101101101085</v>
      </c>
      <c r="J27" s="85">
        <f t="shared" ca="1" si="1"/>
        <v>207.42480036597678</v>
      </c>
      <c r="K27" s="89">
        <f t="shared" ca="1" si="2"/>
        <v>9.7463914027149325</v>
      </c>
      <c r="L27" s="87">
        <f t="shared" ref="L27:L37" ca="1" si="6">IF(A27="","",IF(K27="無翻倒之虞","",K27-(B27-C27)/1000))</f>
        <v>7.7463914027149325</v>
      </c>
      <c r="M27" s="86">
        <f ca="1">IF(A27="","",OFFSET('附件2 伸臂重量中之前端等價質量'!$L$10,(MATCH(A27,'附件1 伸臂重心計算'!$E$3:$K$3,0)-1)*3,0,1,1))</f>
        <v>472.24242992993004</v>
      </c>
      <c r="N27" s="86">
        <f ca="1">IF(A27="","",OFFSET('附件2 伸臂重量中之前端等價質量'!$L$33,(MATCH(A27,'附件1 伸臂重心計算'!$E$3:$K$3,0)-1)*3,0,1,1))</f>
        <v>55.36317040110491</v>
      </c>
      <c r="O27" s="87">
        <f t="shared" ca="1" si="4"/>
        <v>0.52760560033103487</v>
      </c>
      <c r="P27" s="88">
        <f t="shared" ca="1" si="5"/>
        <v>4.028766984914447</v>
      </c>
    </row>
    <row r="28" spans="1:16" ht="21.75" customHeight="1" x14ac:dyDescent="0.55000000000000004">
      <c r="A28" s="99">
        <v>1105</v>
      </c>
      <c r="B28" s="100">
        <v>2030</v>
      </c>
      <c r="C28" s="84">
        <f>IF(A28="","",安定度計算!$L$9)</f>
        <v>30</v>
      </c>
      <c r="D28" s="101">
        <v>450</v>
      </c>
      <c r="E28" s="84">
        <f>IF(A28="","",安定度計算!$L$8+安定度計算!$L$6)</f>
        <v>7391</v>
      </c>
      <c r="F28" s="84">
        <f>IF(A28="","",安定度計算!$L$7)</f>
        <v>999</v>
      </c>
      <c r="G28" s="84">
        <f>IF(A28="","",安定度計算!$L$14)</f>
        <v>480</v>
      </c>
      <c r="H28" s="85">
        <f t="shared" si="0"/>
        <v>65.968437920500151</v>
      </c>
      <c r="I28" s="85">
        <f ca="1">IF(A28="","",OFFSET('附件1 伸臂重心計算'!$L$11,(MATCH(A28,'附件1 伸臂重心計算'!$E$3:$K$3,0)-1)*3,0,1,1))</f>
        <v>573.01101101101085</v>
      </c>
      <c r="J28" s="85">
        <f t="shared" ca="1" si="1"/>
        <v>233.35290041172388</v>
      </c>
      <c r="K28" s="89">
        <f t="shared" ca="1" si="2"/>
        <v>7.3024783451842277</v>
      </c>
      <c r="L28" s="87">
        <f t="shared" ca="1" si="6"/>
        <v>5.3024783451842277</v>
      </c>
      <c r="M28" s="86">
        <f ca="1">IF(A28="","",OFFSET('附件2 伸臂重量中之前端等價質量'!$L$10,(MATCH(A28,'附件1 伸臂重心計算'!$E$3:$K$3,0)-1)*3,0,1,1))</f>
        <v>472.24242992993004</v>
      </c>
      <c r="N28" s="86">
        <f ca="1">IF(A28="","",OFFSET('附件2 伸臂重量中之前端等價質量'!$L$33,(MATCH(A28,'附件1 伸臂重心計算'!$E$3:$K$3,0)-1)*3,0,1,1))</f>
        <v>55.36317040110491</v>
      </c>
      <c r="O28" s="87">
        <f t="shared" ca="1" si="4"/>
        <v>0.52760560033103487</v>
      </c>
      <c r="P28" s="88">
        <f t="shared" ca="1" si="5"/>
        <v>3.0732197116310345</v>
      </c>
    </row>
    <row r="29" spans="1:16" ht="21.75" customHeight="1" x14ac:dyDescent="0.55000000000000004">
      <c r="A29" s="99">
        <v>1105</v>
      </c>
      <c r="B29" s="100">
        <v>1830</v>
      </c>
      <c r="C29" s="84">
        <f>IF(A29="","",安定度計算!$L$9)</f>
        <v>30</v>
      </c>
      <c r="D29" s="101">
        <v>500</v>
      </c>
      <c r="E29" s="84">
        <f>IF(A29="","",安定度計算!$L$8+安定度計算!$L$6)</f>
        <v>7391</v>
      </c>
      <c r="F29" s="84">
        <f>IF(A29="","",安定度計算!$L$7)</f>
        <v>999</v>
      </c>
      <c r="G29" s="84">
        <f>IF(A29="","",安定度計算!$L$14)</f>
        <v>480</v>
      </c>
      <c r="H29" s="85">
        <f t="shared" si="0"/>
        <v>63.096531963859597</v>
      </c>
      <c r="I29" s="85">
        <f ca="1">IF(A29="","",OFFSET('附件1 伸臂重心計算'!$L$11,(MATCH(A29,'附件1 伸臂重心計算'!$E$3:$K$3,0)-1)*3,0,1,1))</f>
        <v>573.01101101101085</v>
      </c>
      <c r="J29" s="85">
        <f t="shared" ca="1" si="1"/>
        <v>259.28100045747095</v>
      </c>
      <c r="K29" s="89">
        <f t="shared" ca="1" si="2"/>
        <v>5.7985318482422556</v>
      </c>
      <c r="L29" s="87">
        <f t="shared" ca="1" si="6"/>
        <v>3.9985318482422558</v>
      </c>
      <c r="M29" s="86">
        <f ca="1">IF(A29="","",OFFSET('附件2 伸臂重量中之前端等價質量'!$L$10,(MATCH(A29,'附件1 伸臂重心計算'!$E$3:$K$3,0)-1)*3,0,1,1))</f>
        <v>472.24242992993004</v>
      </c>
      <c r="N29" s="86">
        <f ca="1">IF(A29="","",OFFSET('附件2 伸臂重量中之前端等價質量'!$L$33,(MATCH(A29,'附件1 伸臂重心計算'!$E$3:$K$3,0)-1)*3,0,1,1))</f>
        <v>55.36317040110491</v>
      </c>
      <c r="O29" s="87">
        <f t="shared" ca="1" si="4"/>
        <v>0.52760560033103487</v>
      </c>
      <c r="P29" s="88">
        <f t="shared" ca="1" si="5"/>
        <v>2.6960138912466172</v>
      </c>
    </row>
    <row r="30" spans="1:16" ht="21.75" customHeight="1" x14ac:dyDescent="0.55000000000000004">
      <c r="A30" s="99">
        <v>1105</v>
      </c>
      <c r="B30" s="100">
        <v>1650</v>
      </c>
      <c r="C30" s="84">
        <f>IF(A30="","",安定度計算!$L$9)</f>
        <v>30</v>
      </c>
      <c r="D30" s="101">
        <v>550</v>
      </c>
      <c r="E30" s="84">
        <f>IF(A30="","",安定度計算!$L$8+安定度計算!$L$6)</f>
        <v>7391</v>
      </c>
      <c r="F30" s="84">
        <f>IF(A30="","",安定度計算!$L$7)</f>
        <v>999</v>
      </c>
      <c r="G30" s="84">
        <f>IF(A30="","",安定度計算!$L$14)</f>
        <v>480</v>
      </c>
      <c r="H30" s="85">
        <f t="shared" si="0"/>
        <v>60.149569510286895</v>
      </c>
      <c r="I30" s="85">
        <f ca="1">IF(A30="","",OFFSET('附件1 伸臂重心計算'!$L$11,(MATCH(A30,'附件1 伸臂重心計算'!$E$3:$K$3,0)-1)*3,0,1,1))</f>
        <v>573.01101101101085</v>
      </c>
      <c r="J30" s="85">
        <f t="shared" ca="1" si="1"/>
        <v>285.20910050321817</v>
      </c>
      <c r="K30" s="89">
        <f t="shared" ca="1" si="2"/>
        <v>4.7797293825718867</v>
      </c>
      <c r="L30" s="87">
        <f t="shared" ca="1" si="6"/>
        <v>3.1597293825718866</v>
      </c>
      <c r="M30" s="86">
        <f ca="1">IF(A30="","",OFFSET('附件2 伸臂重量中之前端等價質量'!$L$10,(MATCH(A30,'附件1 伸臂重心計算'!$E$3:$K$3,0)-1)*3,0,1,1))</f>
        <v>472.24242992993004</v>
      </c>
      <c r="N30" s="86">
        <f ca="1">IF(A30="","",OFFSET('附件2 伸臂重量中之前端等價質量'!$L$33,(MATCH(A30,'附件1 伸臂重心計算'!$E$3:$K$3,0)-1)*3,0,1,1))</f>
        <v>55.36317040110491</v>
      </c>
      <c r="O30" s="87">
        <f t="shared" ca="1" si="4"/>
        <v>0.52760560033103487</v>
      </c>
      <c r="P30" s="88">
        <f t="shared" ca="1" si="5"/>
        <v>2.4510108635335763</v>
      </c>
    </row>
    <row r="31" spans="1:16" ht="21.75" customHeight="1" x14ac:dyDescent="0.55000000000000004">
      <c r="A31" s="99">
        <v>1105</v>
      </c>
      <c r="B31" s="100">
        <v>1480</v>
      </c>
      <c r="C31" s="84">
        <f>IF(A31="","",安定度計算!$L$9)</f>
        <v>30</v>
      </c>
      <c r="D31" s="101">
        <v>600</v>
      </c>
      <c r="E31" s="84">
        <f>IF(A31="","",安定度計算!$L$8+安定度計算!$L$6)</f>
        <v>7391</v>
      </c>
      <c r="F31" s="84">
        <f>IF(A31="","",安定度計算!$L$7)</f>
        <v>999</v>
      </c>
      <c r="G31" s="84">
        <f>IF(A31="","",安定度計算!$L$14)</f>
        <v>480</v>
      </c>
      <c r="H31" s="85">
        <f t="shared" si="0"/>
        <v>57.112829897157816</v>
      </c>
      <c r="I31" s="85">
        <f ca="1">IF(A31="","",OFFSET('附件1 伸臂重心計算'!$L$11,(MATCH(A31,'附件1 伸臂重心計算'!$E$3:$K$3,0)-1)*3,0,1,1))</f>
        <v>573.01101101101085</v>
      </c>
      <c r="J31" s="85">
        <f t="shared" ca="1" si="1"/>
        <v>311.13720054896521</v>
      </c>
      <c r="K31" s="89">
        <f t="shared" ca="1" si="2"/>
        <v>4.0439276018099548</v>
      </c>
      <c r="L31" s="87">
        <f t="shared" ca="1" si="6"/>
        <v>2.5939276018099546</v>
      </c>
      <c r="M31" s="86">
        <f ca="1">IF(A31="","",OFFSET('附件2 伸臂重量中之前端等價質量'!$L$10,(MATCH(A31,'附件1 伸臂重心計算'!$E$3:$K$3,0)-1)*3,0,1,1))</f>
        <v>472.24242992993004</v>
      </c>
      <c r="N31" s="86">
        <f ca="1">IF(A31="","",OFFSET('附件2 伸臂重量中之前端等價質量'!$L$33,(MATCH(A31,'附件1 伸臂重心計算'!$E$3:$K$3,0)-1)*3,0,1,1))</f>
        <v>55.36317040110491</v>
      </c>
      <c r="O31" s="87">
        <f t="shared" ca="1" si="4"/>
        <v>0.52760560033103487</v>
      </c>
      <c r="P31" s="88">
        <f t="shared" ca="1" si="5"/>
        <v>2.292050391462467</v>
      </c>
    </row>
    <row r="32" spans="1:16" ht="21.75" customHeight="1" x14ac:dyDescent="0.55000000000000004">
      <c r="A32" s="99">
        <v>1105</v>
      </c>
      <c r="B32" s="100">
        <v>1230</v>
      </c>
      <c r="C32" s="84">
        <f>IF(A32="","",安定度計算!$L$9)</f>
        <v>30</v>
      </c>
      <c r="D32" s="101">
        <v>700</v>
      </c>
      <c r="E32" s="84">
        <f>IF(A32="","",安定度計算!$L$8+安定度計算!$L$6)</f>
        <v>7391</v>
      </c>
      <c r="F32" s="84">
        <f>IF(A32="","",安定度計算!$L$7)</f>
        <v>999</v>
      </c>
      <c r="G32" s="84">
        <f>IF(A32="","",安定度計算!$L$14)</f>
        <v>480</v>
      </c>
      <c r="H32" s="85">
        <f t="shared" si="0"/>
        <v>50.69235188389338</v>
      </c>
      <c r="I32" s="85">
        <f ca="1">IF(A32="","",OFFSET('附件1 伸臂重心計算'!$L$11,(MATCH(A32,'附件1 伸臂重心計算'!$E$3:$K$3,0)-1)*3,0,1,1))</f>
        <v>573.01101101101085</v>
      </c>
      <c r="J32" s="85">
        <f t="shared" ca="1" si="1"/>
        <v>362.99340064045941</v>
      </c>
      <c r="K32" s="89">
        <f t="shared" ca="1" si="2"/>
        <v>3.0521947668699592</v>
      </c>
      <c r="L32" s="87">
        <f t="shared" ca="1" si="6"/>
        <v>1.8521947668699592</v>
      </c>
      <c r="M32" s="86">
        <f ca="1">IF(A32="","",OFFSET('附件2 伸臂重量中之前端等價質量'!$L$10,(MATCH(A32,'附件1 伸臂重心計算'!$E$3:$K$3,0)-1)*3,0,1,1))</f>
        <v>472.24242992993004</v>
      </c>
      <c r="N32" s="86">
        <f ca="1">IF(A32="","",OFFSET('附件2 伸臂重量中之前端等價質量'!$L$33,(MATCH(A32,'附件1 伸臂重心計算'!$E$3:$K$3,0)-1)*3,0,1,1))</f>
        <v>55.36317040110491</v>
      </c>
      <c r="O32" s="87">
        <f t="shared" ca="1" si="4"/>
        <v>0.52760560033103487</v>
      </c>
      <c r="P32" s="88">
        <f t="shared" ca="1" si="5"/>
        <v>2.0538170602785453</v>
      </c>
    </row>
    <row r="33" spans="1:16" ht="21.75" customHeight="1" x14ac:dyDescent="0.55000000000000004">
      <c r="A33" s="99">
        <v>1105</v>
      </c>
      <c r="B33" s="100">
        <v>1030</v>
      </c>
      <c r="C33" s="84">
        <f>IF(A33="","",安定度計算!$L$9)</f>
        <v>30</v>
      </c>
      <c r="D33" s="101">
        <v>800</v>
      </c>
      <c r="E33" s="84">
        <f>IF(A33="","",安定度計算!$L$8+安定度計算!$L$6)</f>
        <v>7391</v>
      </c>
      <c r="F33" s="84">
        <f>IF(A33="","",安定度計算!$L$7)</f>
        <v>999</v>
      </c>
      <c r="G33" s="84">
        <f>IF(A33="","",安定度計算!$L$14)</f>
        <v>480</v>
      </c>
      <c r="H33" s="85">
        <f t="shared" si="0"/>
        <v>43.61578027951893</v>
      </c>
      <c r="I33" s="85">
        <f ca="1">IF(A33="","",OFFSET('附件1 伸臂重心計算'!$L$11,(MATCH(A33,'附件1 伸臂重心計算'!$E$3:$K$3,0)-1)*3,0,1,1))</f>
        <v>573.01101101101085</v>
      </c>
      <c r="J33" s="85">
        <f t="shared" ca="1" si="1"/>
        <v>414.84960073195356</v>
      </c>
      <c r="K33" s="89">
        <f t="shared" ca="1" si="2"/>
        <v>2.4146522301228184</v>
      </c>
      <c r="L33" s="87">
        <f t="shared" ca="1" si="6"/>
        <v>1.4146522301228184</v>
      </c>
      <c r="M33" s="86">
        <f ca="1">IF(A33="","",OFFSET('附件2 伸臂重量中之前端等價質量'!$L$10,(MATCH(A33,'附件1 伸臂重心計算'!$E$3:$K$3,0)-1)*3,0,1,1))</f>
        <v>472.24242992993004</v>
      </c>
      <c r="N33" s="86">
        <f ca="1">IF(A33="","",OFFSET('附件2 伸臂重量中之前端等價質量'!$L$33,(MATCH(A33,'附件1 伸臂重心計算'!$E$3:$K$3,0)-1)*3,0,1,1))</f>
        <v>55.36317040110491</v>
      </c>
      <c r="O33" s="87">
        <f t="shared" ca="1" si="4"/>
        <v>0.52760560033103487</v>
      </c>
      <c r="P33" s="88">
        <f t="shared" ca="1" si="5"/>
        <v>1.9082223573298434</v>
      </c>
    </row>
    <row r="34" spans="1:16" ht="21.75" customHeight="1" x14ac:dyDescent="0.55000000000000004">
      <c r="A34" s="99">
        <v>1105</v>
      </c>
      <c r="B34" s="100">
        <v>880</v>
      </c>
      <c r="C34" s="84">
        <f>IF(A34="","",安定度計算!$L$9)</f>
        <v>30</v>
      </c>
      <c r="D34" s="101">
        <v>900</v>
      </c>
      <c r="E34" s="84">
        <f>IF(A34="","",安定度計算!$L$8+安定度計算!$L$6)</f>
        <v>7391</v>
      </c>
      <c r="F34" s="84">
        <f>IF(A34="","",安定度計算!$L$7)</f>
        <v>999</v>
      </c>
      <c r="G34" s="84">
        <f>IF(A34="","",安定度計算!$L$14)</f>
        <v>480</v>
      </c>
      <c r="H34" s="85">
        <f t="shared" si="0"/>
        <v>35.464057874423055</v>
      </c>
      <c r="I34" s="85">
        <f ca="1">IF(A34="","",OFFSET('附件1 伸臂重心計算'!$L$11,(MATCH(A34,'附件1 伸臂重心計算'!$E$3:$K$3,0)-1)*3,0,1,1))</f>
        <v>573.01101101101085</v>
      </c>
      <c r="J34" s="85">
        <f t="shared" ca="1" si="1"/>
        <v>466.70580082344782</v>
      </c>
      <c r="K34" s="89">
        <f t="shared" ca="1" si="2"/>
        <v>1.9703044014808722</v>
      </c>
      <c r="L34" s="87">
        <f t="shared" ca="1" si="6"/>
        <v>1.1203044014808721</v>
      </c>
      <c r="M34" s="86">
        <f ca="1">IF(A34="","",OFFSET('附件2 伸臂重量中之前端等價質量'!$L$10,(MATCH(A34,'附件1 伸臂重心計算'!$E$3:$K$3,0)-1)*3,0,1,1))</f>
        <v>472.24242992993004</v>
      </c>
      <c r="N34" s="86">
        <f ca="1">IF(A34="","",OFFSET('附件2 伸臂重量中之前端等價質量'!$L$33,(MATCH(A34,'附件1 伸臂重心計算'!$E$3:$K$3,0)-1)*3,0,1,1))</f>
        <v>55.36317040110491</v>
      </c>
      <c r="O34" s="87">
        <f t="shared" ca="1" si="4"/>
        <v>0.52760560033103487</v>
      </c>
      <c r="P34" s="88">
        <f t="shared" ca="1" si="5"/>
        <v>1.7958936801739092</v>
      </c>
    </row>
    <row r="35" spans="1:16" ht="21.75" customHeight="1" x14ac:dyDescent="0.55000000000000004">
      <c r="A35" s="99">
        <v>1105</v>
      </c>
      <c r="B35" s="100">
        <v>780</v>
      </c>
      <c r="C35" s="84">
        <f>IF(A35="","",安定度計算!$L$9)</f>
        <v>30</v>
      </c>
      <c r="D35" s="101">
        <v>1000</v>
      </c>
      <c r="E35" s="84">
        <f>IF(A35="","",安定度計算!$L$8+安定度計算!$L$6)</f>
        <v>7391</v>
      </c>
      <c r="F35" s="84">
        <f>IF(A35="","",安定度計算!$L$7)</f>
        <v>999</v>
      </c>
      <c r="G35" s="84">
        <f>IF(A35="","",安定度計算!$L$14)</f>
        <v>480</v>
      </c>
      <c r="H35" s="85">
        <f t="shared" si="0"/>
        <v>25.179763898871368</v>
      </c>
      <c r="I35" s="85">
        <f ca="1">IF(A35="","",OFFSET('附件1 伸臂重心計算'!$L$11,(MATCH(A35,'附件1 伸臂重心計算'!$E$3:$K$3,0)-1)*3,0,1,1))</f>
        <v>573.01101101101085</v>
      </c>
      <c r="J35" s="85">
        <f t="shared" ca="1" si="1"/>
        <v>518.5620009149419</v>
      </c>
      <c r="K35" s="89">
        <f t="shared" ca="1" si="2"/>
        <v>1.6428902119552276</v>
      </c>
      <c r="L35" s="87">
        <f t="shared" ca="1" si="6"/>
        <v>0.89289021195522755</v>
      </c>
      <c r="M35" s="86">
        <f ca="1">IF(A35="","",OFFSET('附件2 伸臂重量中之前端等價質量'!$L$10,(MATCH(A35,'附件1 伸臂重心計算'!$E$3:$K$3,0)-1)*3,0,1,1))</f>
        <v>472.24242992993004</v>
      </c>
      <c r="N35" s="86">
        <f ca="1">IF(A35="","",OFFSET('附件2 伸臂重量中之前端等價質量'!$L$33,(MATCH(A35,'附件1 伸臂重心計算'!$E$3:$K$3,0)-1)*3,0,1,1))</f>
        <v>55.36317040110491</v>
      </c>
      <c r="O35" s="87">
        <f t="shared" ca="1" si="4"/>
        <v>0.52760560033103487</v>
      </c>
      <c r="P35" s="88">
        <f t="shared" ca="1" si="5"/>
        <v>1.6828436737569665</v>
      </c>
    </row>
    <row r="36" spans="1:16" ht="21.75" customHeight="1" x14ac:dyDescent="0.55000000000000004">
      <c r="A36" s="99">
        <v>1105</v>
      </c>
      <c r="B36" s="100">
        <v>730</v>
      </c>
      <c r="C36" s="84">
        <f>IF(A36="","",安定度計算!$L$9)</f>
        <v>30</v>
      </c>
      <c r="D36" s="101">
        <v>1081</v>
      </c>
      <c r="E36" s="84">
        <f>IF(A36="","",安定度計算!$L$8+安定度計算!$L$6)</f>
        <v>7391</v>
      </c>
      <c r="F36" s="84">
        <f>IF(A36="","",安定度計算!$L$7)</f>
        <v>999</v>
      </c>
      <c r="G36" s="84">
        <f>IF(A36="","",安定度計算!$L$14)</f>
        <v>480</v>
      </c>
      <c r="H36" s="85">
        <f t="shared" si="0"/>
        <v>11.963308835915718</v>
      </c>
      <c r="I36" s="85">
        <f ca="1">IF(A36="","",OFFSET('附件1 伸臂重心計算'!$L$11,(MATCH(A36,'附件1 伸臂重心計算'!$E$3:$K$3,0)-1)*3,0,1,1))</f>
        <v>573.01101101101085</v>
      </c>
      <c r="J36" s="85">
        <f t="shared" ca="1" si="1"/>
        <v>560.56552298905217</v>
      </c>
      <c r="K36" s="89">
        <f t="shared" ca="1" si="2"/>
        <v>1.434762238447012</v>
      </c>
      <c r="L36" s="87">
        <f t="shared" ca="1" si="6"/>
        <v>0.73476223844701205</v>
      </c>
      <c r="M36" s="86">
        <f ca="1">IF(A36="","",OFFSET('附件2 伸臂重量中之前端等價質量'!$L$10,(MATCH(A36,'附件1 伸臂重心計算'!$E$3:$K$3,0)-1)*3,0,1,1))</f>
        <v>472.24242992993004</v>
      </c>
      <c r="N36" s="86">
        <f ca="1">IF(A36="","",OFFSET('附件2 伸臂重量中之前端等價質量'!$L$33,(MATCH(A36,'附件1 伸臂重心計算'!$E$3:$K$3,0)-1)*3,0,1,1))</f>
        <v>55.36317040110491</v>
      </c>
      <c r="O36" s="87">
        <f t="shared" ca="1" si="4"/>
        <v>0.52760560033103487</v>
      </c>
      <c r="P36" s="88">
        <f t="shared" ca="1" si="5"/>
        <v>1.5842549033286772</v>
      </c>
    </row>
    <row r="37" spans="1:16" ht="21.75" customHeight="1" x14ac:dyDescent="0.55000000000000004">
      <c r="A37" s="99">
        <v>1338</v>
      </c>
      <c r="B37" s="100">
        <v>1330</v>
      </c>
      <c r="C37" s="84">
        <f>IF(A37="","",安定度計算!$L$9)</f>
        <v>30</v>
      </c>
      <c r="D37" s="101">
        <v>450</v>
      </c>
      <c r="E37" s="84">
        <f>IF(A37="","",安定度計算!$L$8+安定度計算!$L$6)</f>
        <v>7391</v>
      </c>
      <c r="F37" s="84">
        <f>IF(A37="","",安定度計算!$L$7)</f>
        <v>999</v>
      </c>
      <c r="G37" s="84">
        <f>IF(A37="","",安定度計算!$L$14)</f>
        <v>480</v>
      </c>
      <c r="H37" s="85">
        <f t="shared" si="0"/>
        <v>70.346998928027773</v>
      </c>
      <c r="I37" s="85">
        <f ca="1">IF(A37="","",OFFSET('附件1 伸臂重心計算'!$L$11,(MATCH(A37,'附件1 伸臂重心計算'!$E$3:$K$3,0)-1)*3,0,1,1))</f>
        <v>617.5585585585585</v>
      </c>
      <c r="J37" s="85">
        <f t="shared" ca="1" si="1"/>
        <v>207.69906677978435</v>
      </c>
      <c r="K37" s="89">
        <f t="shared" ca="1" si="2"/>
        <v>7.4245172966047406</v>
      </c>
      <c r="L37" s="87">
        <f t="shared" ca="1" si="6"/>
        <v>6.1245172966047408</v>
      </c>
      <c r="M37" s="86">
        <f ca="1">IF(A37="","",OFFSET('附件2 伸臂重量中之前端等價質量'!$L$10,(MATCH(A37,'附件1 伸臂重心計算'!$E$3:$K$3,0)-1)*3,0,1,1))</f>
        <v>441.61599099099101</v>
      </c>
      <c r="N37" s="86">
        <f ca="1">IF(A37="","",OFFSET('附件2 伸臂重量中之前端等價質量'!$L$33,(MATCH(A37,'附件1 伸臂重心計算'!$E$3:$K$3,0)-1)*3,0,1,1))</f>
        <v>46.887724994582697</v>
      </c>
      <c r="O37" s="87">
        <f t="shared" ca="1" si="4"/>
        <v>0.48850371598557368</v>
      </c>
      <c r="P37" s="88">
        <f t="shared" ca="1" si="5"/>
        <v>4.3678882494256763</v>
      </c>
    </row>
    <row r="38" spans="1:16" ht="21.75" customHeight="1" x14ac:dyDescent="0.55000000000000004">
      <c r="A38" s="99">
        <v>1338</v>
      </c>
      <c r="B38" s="100">
        <v>1330</v>
      </c>
      <c r="C38" s="84">
        <f>IF(A38="","",安定度計算!$L$9)</f>
        <v>30</v>
      </c>
      <c r="D38" s="101">
        <v>500</v>
      </c>
      <c r="E38" s="84">
        <f>IF(A38="","",安定度計算!$L$8+安定度計算!$L$6)</f>
        <v>7391</v>
      </c>
      <c r="F38" s="84">
        <f>IF(A38="","",安定度計算!$L$7)</f>
        <v>999</v>
      </c>
      <c r="G38" s="84">
        <f>IF(A38="","",安定度計算!$L$14)</f>
        <v>480</v>
      </c>
      <c r="H38" s="85">
        <f t="shared" si="0"/>
        <v>68.056501697231923</v>
      </c>
      <c r="I38" s="85">
        <f ca="1">IF(A38="","",OFFSET('附件1 伸臂重心計算'!$L$11,(MATCH(A38,'附件1 伸臂重心計算'!$E$3:$K$3,0)-1)*3,0,1,1))</f>
        <v>617.5585585585585</v>
      </c>
      <c r="J38" s="85">
        <f t="shared" ca="1" si="1"/>
        <v>230.77674086642699</v>
      </c>
      <c r="K38" s="89">
        <f t="shared" ca="1" si="2"/>
        <v>5.9080539841324589</v>
      </c>
      <c r="L38" s="87">
        <f t="shared" ca="1" si="3"/>
        <v>4.608053984132459</v>
      </c>
      <c r="M38" s="86">
        <f ca="1">IF(A38="","",OFFSET('附件2 伸臂重量中之前端等價質量'!$L$10,(MATCH(A38,'附件1 伸臂重心計算'!$E$3:$K$3,0)-1)*3,0,1,1))</f>
        <v>441.61599099099101</v>
      </c>
      <c r="N38" s="86">
        <f ca="1">IF(A38="","",OFFSET('附件2 伸臂重量中之前端等價質量'!$L$33,(MATCH(A38,'附件1 伸臂重心計算'!$E$3:$K$3,0)-1)*3,0,1,1))</f>
        <v>46.887724994582697</v>
      </c>
      <c r="O38" s="87">
        <f t="shared" ca="1" si="4"/>
        <v>0.48850371598557368</v>
      </c>
      <c r="P38" s="88">
        <f t="shared" ca="1" si="5"/>
        <v>3.5339810656559663</v>
      </c>
    </row>
    <row r="39" spans="1:16" ht="21.75" customHeight="1" x14ac:dyDescent="0.55000000000000004">
      <c r="A39" s="99">
        <v>1338</v>
      </c>
      <c r="B39" s="100">
        <v>1200</v>
      </c>
      <c r="C39" s="84">
        <f>IF(A39="","",安定度計算!$L$9)</f>
        <v>30</v>
      </c>
      <c r="D39" s="101">
        <v>550</v>
      </c>
      <c r="E39" s="84">
        <f>IF(A39="","",安定度計算!$L$8+安定度計算!$L$6)</f>
        <v>7391</v>
      </c>
      <c r="F39" s="84">
        <f>IF(A39="","",安定度計算!$L$7)</f>
        <v>999</v>
      </c>
      <c r="G39" s="84">
        <f>IF(A39="","",安定度計算!$L$14)</f>
        <v>480</v>
      </c>
      <c r="H39" s="85">
        <f t="shared" si="0"/>
        <v>65.728479451112563</v>
      </c>
      <c r="I39" s="85">
        <f ca="1">IF(A39="","",OFFSET('附件1 伸臂重心計算'!$L$11,(MATCH(A39,'附件1 伸臂重心計算'!$E$3:$K$3,0)-1)*3,0,1,1))</f>
        <v>617.5585585585585</v>
      </c>
      <c r="J39" s="85">
        <f t="shared" ca="1" si="1"/>
        <v>253.85441495306966</v>
      </c>
      <c r="K39" s="89">
        <f t="shared" ca="1" si="2"/>
        <v>4.8807723853609142</v>
      </c>
      <c r="L39" s="87">
        <f t="shared" ca="1" si="3"/>
        <v>3.7107723853609142</v>
      </c>
      <c r="M39" s="86">
        <f ca="1">IF(A39="","",OFFSET('附件2 伸臂重量中之前端等價質量'!$L$10,(MATCH(A39,'附件1 伸臂重心計算'!$E$3:$K$3,0)-1)*3,0,1,1))</f>
        <v>441.61599099099101</v>
      </c>
      <c r="N39" s="86">
        <f ca="1">IF(A39="","",OFFSET('附件2 伸臂重量中之前端等價質量'!$L$33,(MATCH(A39,'附件1 伸臂重心計算'!$E$3:$K$3,0)-1)*3,0,1,1))</f>
        <v>46.887724994582697</v>
      </c>
      <c r="O39" s="87">
        <f t="shared" ca="1" si="4"/>
        <v>0.48850371598557368</v>
      </c>
      <c r="P39" s="88">
        <f t="shared" ca="1" si="5"/>
        <v>3.1976690665409344</v>
      </c>
    </row>
    <row r="40" spans="1:16" ht="21.75" customHeight="1" x14ac:dyDescent="0.55000000000000004">
      <c r="A40" s="99">
        <v>1338</v>
      </c>
      <c r="B40" s="100">
        <v>1100</v>
      </c>
      <c r="C40" s="84">
        <f>IF(A40="","",安定度計算!$L$9)</f>
        <v>30</v>
      </c>
      <c r="D40" s="101">
        <v>600</v>
      </c>
      <c r="E40" s="84">
        <f>IF(A40="","",安定度計算!$L$8+安定度計算!$L$6)</f>
        <v>7391</v>
      </c>
      <c r="F40" s="84">
        <f>IF(A40="","",安定度計算!$L$7)</f>
        <v>999</v>
      </c>
      <c r="G40" s="84">
        <f>IF(A40="","",安定度計算!$L$14)</f>
        <v>480</v>
      </c>
      <c r="H40" s="85">
        <f t="shared" si="0"/>
        <v>63.356969463545802</v>
      </c>
      <c r="I40" s="85">
        <f ca="1">IF(A40="","",OFFSET('附件1 伸臂重心計算'!$L$11,(MATCH(A40,'附件1 伸臂重心計算'!$E$3:$K$3,0)-1)*3,0,1,1))</f>
        <v>617.5585585585585</v>
      </c>
      <c r="J40" s="85">
        <f t="shared" ca="1" si="1"/>
        <v>276.93208903971237</v>
      </c>
      <c r="K40" s="89">
        <f t="shared" ca="1" si="2"/>
        <v>4.1388467862481324</v>
      </c>
      <c r="L40" s="87">
        <f t="shared" ca="1" si="3"/>
        <v>3.0688467862481321</v>
      </c>
      <c r="M40" s="86">
        <f ca="1">IF(A40="","",OFFSET('附件2 伸臂重量中之前端等價質量'!$L$10,(MATCH(A40,'附件1 伸臂重心計算'!$E$3:$K$3,0)-1)*3,0,1,1))</f>
        <v>441.61599099099101</v>
      </c>
      <c r="N40" s="86">
        <f ca="1">IF(A40="","",OFFSET('附件2 伸臂重量中之前端等價質量'!$L$33,(MATCH(A40,'附件1 伸臂重心計算'!$E$3:$K$3,0)-1)*3,0,1,1))</f>
        <v>46.887724994582697</v>
      </c>
      <c r="O40" s="87">
        <f t="shared" ca="1" si="4"/>
        <v>0.48850371598557368</v>
      </c>
      <c r="P40" s="88">
        <f t="shared" ca="1" si="5"/>
        <v>2.9319103602751677</v>
      </c>
    </row>
    <row r="41" spans="1:16" ht="21.75" customHeight="1" x14ac:dyDescent="0.55000000000000004">
      <c r="A41" s="99">
        <v>1338</v>
      </c>
      <c r="B41" s="100">
        <v>950</v>
      </c>
      <c r="C41" s="84">
        <f>IF(A41="","",安定度計算!$L$9)</f>
        <v>30</v>
      </c>
      <c r="D41" s="101">
        <v>700</v>
      </c>
      <c r="E41" s="84">
        <f>IF(A41="","",安定度計算!$L$8+安定度計算!$L$6)</f>
        <v>7391</v>
      </c>
      <c r="F41" s="84">
        <f>IF(A41="","",安定度計算!$L$7)</f>
        <v>999</v>
      </c>
      <c r="G41" s="84">
        <f>IF(A41="","",安定度計算!$L$14)</f>
        <v>480</v>
      </c>
      <c r="H41" s="85">
        <f t="shared" si="0"/>
        <v>58.454943304231058</v>
      </c>
      <c r="I41" s="85">
        <f ca="1">IF(A41="","",OFFSET('附件1 伸臂重心計算'!$L$11,(MATCH(A41,'附件1 伸臂重心計算'!$E$3:$K$3,0)-1)*3,0,1,1))</f>
        <v>617.5585585585585</v>
      </c>
      <c r="J41" s="85">
        <f t="shared" ca="1" si="1"/>
        <v>323.08743721299777</v>
      </c>
      <c r="K41" s="89">
        <f t="shared" ca="1" si="2"/>
        <v>3.138860109183077</v>
      </c>
      <c r="L41" s="87">
        <f t="shared" ca="1" si="3"/>
        <v>2.2188601091830771</v>
      </c>
      <c r="M41" s="86">
        <f ca="1">IF(A41="","",OFFSET('附件2 伸臂重量中之前端等價質量'!$L$10,(MATCH(A41,'附件1 伸臂重心計算'!$E$3:$K$3,0)-1)*3,0,1,1))</f>
        <v>441.61599099099101</v>
      </c>
      <c r="N41" s="86">
        <f ca="1">IF(A41="","",OFFSET('附件2 伸臂重量中之前端等價質量'!$L$33,(MATCH(A41,'附件1 伸臂重心計算'!$E$3:$K$3,0)-1)*3,0,1,1))</f>
        <v>46.887724994582697</v>
      </c>
      <c r="O41" s="87">
        <f t="shared" ca="1" si="4"/>
        <v>0.48850371598557368</v>
      </c>
      <c r="P41" s="88">
        <f t="shared" ca="1" si="5"/>
        <v>2.5424778431405386</v>
      </c>
    </row>
    <row r="42" spans="1:16" ht="21.75" customHeight="1" x14ac:dyDescent="0.55000000000000004">
      <c r="A42" s="99">
        <v>1338</v>
      </c>
      <c r="B42" s="100">
        <v>830</v>
      </c>
      <c r="C42" s="84">
        <f>IF(A42="","",安定度計算!$L$9)</f>
        <v>30</v>
      </c>
      <c r="D42" s="101">
        <v>800</v>
      </c>
      <c r="E42" s="84">
        <f>IF(A42="","",安定度計算!$L$8+安定度計算!$L$6)</f>
        <v>7391</v>
      </c>
      <c r="F42" s="84">
        <f>IF(A42="","",安定度計算!$L$7)</f>
        <v>999</v>
      </c>
      <c r="G42" s="84">
        <f>IF(A42="","",安定度計算!$L$14)</f>
        <v>480</v>
      </c>
      <c r="H42" s="85">
        <f t="shared" si="0"/>
        <v>53.279832643846312</v>
      </c>
      <c r="I42" s="85">
        <f ca="1">IF(A42="","",OFFSET('附件1 伸臂重心計算'!$L$11,(MATCH(A42,'附件1 伸臂重心計算'!$E$3:$K$3,0)-1)*3,0,1,1))</f>
        <v>617.5585585585585</v>
      </c>
      <c r="J42" s="85">
        <f t="shared" ca="1" si="1"/>
        <v>369.24278538628317</v>
      </c>
      <c r="K42" s="89">
        <f t="shared" ca="1" si="2"/>
        <v>2.496011531069827</v>
      </c>
      <c r="L42" s="87">
        <f t="shared" ca="1" si="3"/>
        <v>1.6960115310698269</v>
      </c>
      <c r="M42" s="86">
        <f ca="1">IF(A42="","",OFFSET('附件2 伸臂重量中之前端等價質量'!$L$10,(MATCH(A42,'附件1 伸臂重心計算'!$E$3:$K$3,0)-1)*3,0,1,1))</f>
        <v>441.61599099099101</v>
      </c>
      <c r="N42" s="86">
        <f ca="1">IF(A42="","",OFFSET('附件2 伸臂重量中之前端等價質量'!$L$33,(MATCH(A42,'附件1 伸臂重心計算'!$E$3:$K$3,0)-1)*3,0,1,1))</f>
        <v>46.887724994582697</v>
      </c>
      <c r="O42" s="87">
        <f t="shared" ca="1" si="4"/>
        <v>0.48850371598557368</v>
      </c>
      <c r="P42" s="88">
        <f t="shared" ca="1" si="5"/>
        <v>2.2863153213050058</v>
      </c>
    </row>
    <row r="43" spans="1:16" ht="21.75" customHeight="1" x14ac:dyDescent="0.55000000000000004">
      <c r="A43" s="99">
        <v>1338</v>
      </c>
      <c r="B43" s="100">
        <v>730</v>
      </c>
      <c r="C43" s="84">
        <f>IF(A43="","",安定度計算!$L$9)</f>
        <v>30</v>
      </c>
      <c r="D43" s="101">
        <v>900</v>
      </c>
      <c r="E43" s="84">
        <f>IF(A43="","",安定度計算!$L$8+安定度計算!$L$6)</f>
        <v>7391</v>
      </c>
      <c r="F43" s="84">
        <f>IF(A43="","",安定度計算!$L$7)</f>
        <v>999</v>
      </c>
      <c r="G43" s="84">
        <f>IF(A43="","",安定度計算!$L$14)</f>
        <v>480</v>
      </c>
      <c r="H43" s="85">
        <f t="shared" si="0"/>
        <v>47.728405838126562</v>
      </c>
      <c r="I43" s="85">
        <f ca="1">IF(A43="","",OFFSET('附件1 伸臂重心計算'!$L$11,(MATCH(A43,'附件1 伸臂重心計算'!$E$3:$K$3,0)-1)*3,0,1,1))</f>
        <v>617.5585585585585</v>
      </c>
      <c r="J43" s="85">
        <f t="shared" ca="1" si="1"/>
        <v>415.39813355956852</v>
      </c>
      <c r="K43" s="89">
        <f t="shared" ca="1" si="2"/>
        <v>2.0479655523848348</v>
      </c>
      <c r="L43" s="87">
        <f t="shared" ca="1" si="3"/>
        <v>1.3479655523848348</v>
      </c>
      <c r="M43" s="86">
        <f ca="1">IF(A43="","",OFFSET('附件2 伸臂重量中之前端等價質量'!$L$10,(MATCH(A43,'附件1 伸臂重心計算'!$E$3:$K$3,0)-1)*3,0,1,1))</f>
        <v>441.61599099099101</v>
      </c>
      <c r="N43" s="86">
        <f ca="1">IF(A43="","",OFFSET('附件2 伸臂重量中之前端等價質量'!$L$33,(MATCH(A43,'附件1 伸臂重心計算'!$E$3:$K$3,0)-1)*3,0,1,1))</f>
        <v>46.887724994582697</v>
      </c>
      <c r="O43" s="87">
        <f t="shared" ca="1" si="4"/>
        <v>0.48850371598557368</v>
      </c>
      <c r="P43" s="88">
        <f t="shared" ca="1" si="5"/>
        <v>2.1062465667530175</v>
      </c>
    </row>
    <row r="44" spans="1:16" ht="21.75" customHeight="1" x14ac:dyDescent="0.55000000000000004">
      <c r="A44" s="99">
        <v>1338</v>
      </c>
      <c r="B44" s="100">
        <v>650</v>
      </c>
      <c r="C44" s="84">
        <f>IF(A44="","",安定度計算!$L$9)</f>
        <v>30</v>
      </c>
      <c r="D44" s="101">
        <v>1000</v>
      </c>
      <c r="E44" s="84">
        <f>IF(A44="","",安定度計算!$L$8+安定度計算!$L$6)</f>
        <v>7391</v>
      </c>
      <c r="F44" s="84">
        <f>IF(A44="","",安定度計算!$L$7)</f>
        <v>999</v>
      </c>
      <c r="G44" s="84">
        <f>IF(A44="","",安定度計算!$L$14)</f>
        <v>480</v>
      </c>
      <c r="H44" s="85">
        <f t="shared" si="0"/>
        <v>41.635709406568274</v>
      </c>
      <c r="I44" s="85">
        <f ca="1">IF(A44="","",OFFSET('附件1 伸臂重心計算'!$L$11,(MATCH(A44,'附件1 伸臂重心計算'!$E$3:$K$3,0)-1)*3,0,1,1))</f>
        <v>617.5585585585585</v>
      </c>
      <c r="J44" s="85">
        <f t="shared" ca="1" si="1"/>
        <v>461.55348173285392</v>
      </c>
      <c r="K44" s="89">
        <f t="shared" ca="1" si="2"/>
        <v>1.7178264101958933</v>
      </c>
      <c r="L44" s="87">
        <f t="shared" ca="1" si="3"/>
        <v>1.0978264101958932</v>
      </c>
      <c r="M44" s="86">
        <f ca="1">IF(A44="","",OFFSET('附件2 伸臂重量中之前端等價質量'!$L$10,(MATCH(A44,'附件1 伸臂重心計算'!$E$3:$K$3,0)-1)*3,0,1,1))</f>
        <v>441.61599099099101</v>
      </c>
      <c r="N44" s="86">
        <f ca="1">IF(A44="","",OFFSET('附件2 伸臂重量中之前端等價質量'!$L$33,(MATCH(A44,'附件1 伸臂重心計算'!$E$3:$K$3,0)-1)*3,0,1,1))</f>
        <v>46.887724994582697</v>
      </c>
      <c r="O44" s="87">
        <f t="shared" ca="1" si="4"/>
        <v>0.48850371598557368</v>
      </c>
      <c r="P44" s="88">
        <f t="shared" ca="1" si="5"/>
        <v>1.9642712577758541</v>
      </c>
    </row>
    <row r="45" spans="1:16" ht="21.75" customHeight="1" x14ac:dyDescent="0.55000000000000004">
      <c r="A45" s="99">
        <v>1338</v>
      </c>
      <c r="B45" s="100">
        <v>600</v>
      </c>
      <c r="C45" s="84">
        <f>IF(A45="","",安定度計算!$L$9)</f>
        <v>30</v>
      </c>
      <c r="D45" s="101">
        <v>1100</v>
      </c>
      <c r="E45" s="84">
        <f>IF(A45="","",安定度計算!$L$8+安定度計算!$L$6)</f>
        <v>7391</v>
      </c>
      <c r="F45" s="84">
        <f>IF(A45="","",安定度計算!$L$7)</f>
        <v>999</v>
      </c>
      <c r="G45" s="84">
        <f>IF(A45="","",安定度計算!$L$14)</f>
        <v>480</v>
      </c>
      <c r="H45" s="85">
        <f t="shared" si="0"/>
        <v>34.702160816457209</v>
      </c>
      <c r="I45" s="85">
        <f ca="1">IF(A45="","",OFFSET('附件1 伸臂重心計算'!$L$11,(MATCH(A45,'附件1 伸臂重心計算'!$E$3:$K$3,0)-1)*3,0,1,1))</f>
        <v>617.5585585585585</v>
      </c>
      <c r="J45" s="85">
        <f t="shared" ca="1" si="1"/>
        <v>507.70882990613927</v>
      </c>
      <c r="K45" s="89">
        <f t="shared" ca="1" si="2"/>
        <v>1.4644638127020544</v>
      </c>
      <c r="L45" s="87">
        <f t="shared" ca="1" si="3"/>
        <v>0.89446381270205444</v>
      </c>
      <c r="M45" s="86">
        <f ca="1">IF(A45="","",OFFSET('附件2 伸臂重量中之前端等價質量'!$L$10,(MATCH(A45,'附件1 伸臂重心計算'!$E$3:$K$3,0)-1)*3,0,1,1))</f>
        <v>441.61599099099101</v>
      </c>
      <c r="N45" s="86">
        <f ca="1">IF(A45="","",OFFSET('附件2 伸臂重量中之前端等價質量'!$L$33,(MATCH(A45,'附件1 伸臂重心計算'!$E$3:$K$3,0)-1)*3,0,1,1))</f>
        <v>46.887724994582697</v>
      </c>
      <c r="O45" s="87">
        <f t="shared" ca="1" si="4"/>
        <v>0.48850371598557368</v>
      </c>
      <c r="P45" s="88">
        <f t="shared" ca="1" si="5"/>
        <v>1.8217370318227826</v>
      </c>
    </row>
    <row r="46" spans="1:16" ht="21.75" customHeight="1" x14ac:dyDescent="0.55000000000000004">
      <c r="A46" s="99">
        <v>1338</v>
      </c>
      <c r="B46" s="100">
        <v>550</v>
      </c>
      <c r="C46" s="84">
        <f>IF(A46="","",安定度計算!$L$9)</f>
        <v>30</v>
      </c>
      <c r="D46" s="101">
        <v>1200</v>
      </c>
      <c r="E46" s="84">
        <f>IF(A46="","",安定度計算!$L$8+安定度計算!$L$6)</f>
        <v>7391</v>
      </c>
      <c r="F46" s="84">
        <f>IF(A46="","",安定度計算!$L$7)</f>
        <v>999</v>
      </c>
      <c r="G46" s="84">
        <f>IF(A46="","",安定度計算!$L$14)</f>
        <v>480</v>
      </c>
      <c r="H46" s="85">
        <f t="shared" si="0"/>
        <v>26.251522745053418</v>
      </c>
      <c r="I46" s="85">
        <f ca="1">IF(A46="","",OFFSET('附件1 伸臂重心計算'!$L$11,(MATCH(A46,'附件1 伸臂重心計算'!$E$3:$K$3,0)-1)*3,0,1,1))</f>
        <v>617.5585585585585</v>
      </c>
      <c r="J46" s="85">
        <f t="shared" ca="1" si="1"/>
        <v>553.86417807942473</v>
      </c>
      <c r="K46" s="89">
        <f t="shared" ca="1" si="2"/>
        <v>1.2638850896860989</v>
      </c>
      <c r="L46" s="87">
        <f t="shared" ca="1" si="3"/>
        <v>0.7438850896860989</v>
      </c>
      <c r="M46" s="86">
        <f ca="1">IF(A46="","",OFFSET('附件2 伸臂重量中之前端等價質量'!$L$10,(MATCH(A46,'附件1 伸臂重心計算'!$E$3:$K$3,0)-1)*3,0,1,1))</f>
        <v>441.61599099099101</v>
      </c>
      <c r="N46" s="86">
        <f ca="1">IF(A46="","",OFFSET('附件2 伸臂重量中之前端等價質量'!$L$33,(MATCH(A46,'附件1 伸臂重心計算'!$E$3:$K$3,0)-1)*3,0,1,1))</f>
        <v>46.887724994582697</v>
      </c>
      <c r="O46" s="87">
        <f t="shared" ca="1" si="4"/>
        <v>0.48850371598557368</v>
      </c>
      <c r="P46" s="88">
        <f t="shared" ca="1" si="5"/>
        <v>1.7163046970709468</v>
      </c>
    </row>
    <row r="47" spans="1:16" ht="21.75" customHeight="1" x14ac:dyDescent="0.55000000000000004">
      <c r="A47" s="99">
        <v>1338</v>
      </c>
      <c r="B47" s="100">
        <v>500</v>
      </c>
      <c r="C47" s="84">
        <f>IF(A47="","",安定度計算!$L$9)</f>
        <v>30</v>
      </c>
      <c r="D47" s="101">
        <v>1314</v>
      </c>
      <c r="E47" s="84">
        <f>IF(A47="","",安定度計算!$L$8+安定度計算!$L$6)</f>
        <v>7391</v>
      </c>
      <c r="F47" s="84">
        <f>IF(A47="","",安定度計算!$L$7)</f>
        <v>999</v>
      </c>
      <c r="G47" s="84">
        <f>IF(A47="","",安定度計算!$L$14)</f>
        <v>480</v>
      </c>
      <c r="H47" s="85">
        <f t="shared" si="0"/>
        <v>10.868422413384904</v>
      </c>
      <c r="I47" s="85">
        <f ca="1">IF(A47="","",OFFSET('附件1 伸臂重心計算'!$L$11,(MATCH(A47,'附件1 伸臂重心計算'!$E$3:$K$3,0)-1)*3,0,1,1))</f>
        <v>617.5585585585585</v>
      </c>
      <c r="J47" s="85">
        <f t="shared" ca="1" si="1"/>
        <v>606.48127499697</v>
      </c>
      <c r="K47" s="89">
        <f t="shared" ca="1" si="2"/>
        <v>1.0807869704637123</v>
      </c>
      <c r="L47" s="87">
        <f t="shared" ca="1" si="3"/>
        <v>0.61078697046371233</v>
      </c>
      <c r="M47" s="86">
        <f ca="1">IF(A47="","",OFFSET('附件2 伸臂重量中之前端等價質量'!$L$10,(MATCH(A47,'附件1 伸臂重心計算'!$E$3:$K$3,0)-1)*3,0,1,1))</f>
        <v>441.61599099099101</v>
      </c>
      <c r="N47" s="86">
        <f ca="1">IF(A47="","",OFFSET('附件2 伸臂重量中之前端等價質量'!$L$33,(MATCH(A47,'附件1 伸臂重心計算'!$E$3:$K$3,0)-1)*3,0,1,1))</f>
        <v>46.887724994582697</v>
      </c>
      <c r="O47" s="87">
        <f t="shared" ca="1" si="4"/>
        <v>0.48850371598557368</v>
      </c>
      <c r="P47" s="88">
        <f t="shared" ca="1" si="5"/>
        <v>1.6178904141546255</v>
      </c>
    </row>
    <row r="48" spans="1:16" ht="21.75" customHeight="1" x14ac:dyDescent="0.55000000000000004">
      <c r="A48" s="99">
        <v>1571</v>
      </c>
      <c r="B48" s="100">
        <v>530</v>
      </c>
      <c r="C48" s="84">
        <f>IF(A48="","",安定度計算!$L$9)</f>
        <v>30</v>
      </c>
      <c r="D48" s="101">
        <v>600</v>
      </c>
      <c r="E48" s="84">
        <f>IF(A48="","",安定度計算!$L$8+安定度計算!$L$6)</f>
        <v>7391</v>
      </c>
      <c r="F48" s="84">
        <f>IF(A48="","",安定度計算!$L$7)</f>
        <v>999</v>
      </c>
      <c r="G48" s="84">
        <f>IF(A48="","",安定度計算!$L$14)</f>
        <v>480</v>
      </c>
      <c r="H48" s="85">
        <f t="shared" si="0"/>
        <v>67.54719209105005</v>
      </c>
      <c r="I48" s="85">
        <f ca="1">IF(A48="","",OFFSET('附件1 伸臂重心計算'!$L$11,(MATCH(A48,'附件1 伸臂重心計算'!$E$3:$K$3,0)-1)*3,0,1,1))</f>
        <v>597.19619619619618</v>
      </c>
      <c r="J48" s="85">
        <f t="shared" ca="1" si="1"/>
        <v>228.08257015768157</v>
      </c>
      <c r="K48" s="89">
        <f t="shared" ca="1" si="2"/>
        <v>4.2744042011457672</v>
      </c>
      <c r="L48" s="87">
        <f t="shared" ca="1" si="3"/>
        <v>3.7744042011457672</v>
      </c>
      <c r="M48" s="86">
        <f ca="1">IF(A48="","",OFFSET('附件2 伸臂重量中之前端等價質量'!$L$10,(MATCH(A48,'附件1 伸臂重心計算'!$E$3:$K$3,0)-1)*3,0,1,1))</f>
        <v>455.61511511511515</v>
      </c>
      <c r="N48" s="86">
        <f ca="1">IF(A48="","",OFFSET('附件2 伸臂重量中之前端等價質量'!$L$33,(MATCH(A48,'附件1 伸臂重心計算'!$E$3:$K$3,0)-1)*3,0,1,1))</f>
        <v>50.761789899408754</v>
      </c>
      <c r="O48" s="87">
        <f t="shared" ca="1" si="4"/>
        <v>0.50637690501452393</v>
      </c>
      <c r="P48" s="88">
        <f t="shared" ca="1" si="5"/>
        <v>4.6419223381795378</v>
      </c>
    </row>
    <row r="49" spans="1:16" ht="21.75" customHeight="1" x14ac:dyDescent="0.55000000000000004">
      <c r="A49" s="99">
        <v>1571</v>
      </c>
      <c r="B49" s="100">
        <v>430</v>
      </c>
      <c r="C49" s="84">
        <f>IF(A49="","",安定度計算!$L$9)</f>
        <v>30</v>
      </c>
      <c r="D49" s="101">
        <v>700</v>
      </c>
      <c r="E49" s="84">
        <f>IF(A49="","",安定度計算!$L$8+安定度計算!$L$6)</f>
        <v>7391</v>
      </c>
      <c r="F49" s="84">
        <f>IF(A49="","",安定度計算!$L$7)</f>
        <v>999</v>
      </c>
      <c r="G49" s="84">
        <f>IF(A49="","",安定度計算!$L$14)</f>
        <v>480</v>
      </c>
      <c r="H49" s="85">
        <f t="shared" si="0"/>
        <v>63.539798794949938</v>
      </c>
      <c r="I49" s="85">
        <f ca="1">IF(A49="","",OFFSET('附件1 伸臂重心計算'!$L$11,(MATCH(A49,'附件1 伸臂重心計算'!$E$3:$K$3,0)-1)*3,0,1,1))</f>
        <v>597.19619619619618</v>
      </c>
      <c r="J49" s="85">
        <f t="shared" ca="1" si="1"/>
        <v>266.09633185062836</v>
      </c>
      <c r="K49" s="89">
        <f t="shared" ca="1" si="2"/>
        <v>3.262629922785266</v>
      </c>
      <c r="L49" s="87">
        <f t="shared" ca="1" si="3"/>
        <v>2.8626299227852661</v>
      </c>
      <c r="M49" s="86">
        <f ca="1">IF(A49="","",OFFSET('附件2 伸臂重量中之前端等價質量'!$L$10,(MATCH(A49,'附件1 伸臂重心計算'!$E$3:$K$3,0)-1)*3,0,1,1))</f>
        <v>455.61511511511515</v>
      </c>
      <c r="N49" s="86">
        <f ca="1">IF(A49="","",OFFSET('附件2 伸臂重量中之前端等價質量'!$L$33,(MATCH(A49,'附件1 伸臂重心計算'!$E$3:$K$3,0)-1)*3,0,1,1))</f>
        <v>50.761789899408754</v>
      </c>
      <c r="O49" s="87">
        <f t="shared" ca="1" si="4"/>
        <v>0.50637690501452393</v>
      </c>
      <c r="P49" s="88">
        <f t="shared" ca="1" si="5"/>
        <v>4.0571342666133621</v>
      </c>
    </row>
    <row r="50" spans="1:16" ht="21.75" customHeight="1" x14ac:dyDescent="0.55000000000000004">
      <c r="A50" s="99">
        <v>1571</v>
      </c>
      <c r="B50" s="100">
        <v>380</v>
      </c>
      <c r="C50" s="84">
        <f>IF(A50="","",安定度計算!$L$9)</f>
        <v>30</v>
      </c>
      <c r="D50" s="101">
        <v>800</v>
      </c>
      <c r="E50" s="84">
        <f>IF(A50="","",安定度計算!$L$8+安定度計算!$L$6)</f>
        <v>7391</v>
      </c>
      <c r="F50" s="84">
        <f>IF(A50="","",安定度計算!$L$7)</f>
        <v>999</v>
      </c>
      <c r="G50" s="84">
        <f>IF(A50="","",安定度計算!$L$14)</f>
        <v>480</v>
      </c>
      <c r="H50" s="85">
        <f t="shared" si="0"/>
        <v>59.387459953749357</v>
      </c>
      <c r="I50" s="85">
        <f ca="1">IF(A50="","",OFFSET('附件1 伸臂重心計算'!$L$11,(MATCH(A50,'附件1 伸臂重心計算'!$E$3:$K$3,0)-1)*3,0,1,1))</f>
        <v>597.19619619619618</v>
      </c>
      <c r="J50" s="85">
        <f t="shared" ca="1" si="1"/>
        <v>304.11009354357543</v>
      </c>
      <c r="K50" s="89">
        <f t="shared" ca="1" si="2"/>
        <v>2.6122036009820859</v>
      </c>
      <c r="L50" s="87">
        <f t="shared" ca="1" si="3"/>
        <v>2.2622036009820858</v>
      </c>
      <c r="M50" s="86">
        <f ca="1">IF(A50="","",OFFSET('附件2 伸臂重量中之前端等價質量'!$L$10,(MATCH(A50,'附件1 伸臂重心計算'!$E$3:$K$3,0)-1)*3,0,1,1))</f>
        <v>455.61511511511515</v>
      </c>
      <c r="N50" s="86">
        <f ca="1">IF(A50="","",OFFSET('附件2 伸臂重量中之前端等價質量'!$L$33,(MATCH(A50,'附件1 伸臂重心計算'!$E$3:$K$3,0)-1)*3,0,1,1))</f>
        <v>50.761789899408754</v>
      </c>
      <c r="O50" s="87">
        <f t="shared" ca="1" si="4"/>
        <v>0.50637690501452393</v>
      </c>
      <c r="P50" s="88">
        <f t="shared" ca="1" si="5"/>
        <v>3.5521914979779603</v>
      </c>
    </row>
    <row r="51" spans="1:16" ht="21.75" customHeight="1" x14ac:dyDescent="0.55000000000000004">
      <c r="A51" s="99">
        <v>1571</v>
      </c>
      <c r="B51" s="100">
        <v>380</v>
      </c>
      <c r="C51" s="84">
        <f>IF(A51="","",安定度計算!$L$9)</f>
        <v>30</v>
      </c>
      <c r="D51" s="101">
        <v>900</v>
      </c>
      <c r="E51" s="84">
        <f>IF(A51="","",安定度計算!$L$8+安定度計算!$L$6)</f>
        <v>7391</v>
      </c>
      <c r="F51" s="84">
        <f>IF(A51="","",安定度計算!$L$7)</f>
        <v>999</v>
      </c>
      <c r="G51" s="84">
        <f>IF(A51="","",安定度計算!$L$14)</f>
        <v>480</v>
      </c>
      <c r="H51" s="85">
        <f t="shared" si="0"/>
        <v>55.048452297067819</v>
      </c>
      <c r="I51" s="85">
        <f ca="1">IF(A51="","",OFFSET('附件1 伸臂重心計算'!$L$11,(MATCH(A51,'附件1 伸臂重心計算'!$E$3:$K$3,0)-1)*3,0,1,1))</f>
        <v>597.19619619619618</v>
      </c>
      <c r="J51" s="85">
        <f t="shared" ca="1" si="1"/>
        <v>342.12385523652227</v>
      </c>
      <c r="K51" s="89">
        <f t="shared" ca="1" si="2"/>
        <v>2.1588761645738095</v>
      </c>
      <c r="L51" s="87">
        <f t="shared" ca="1" si="3"/>
        <v>1.8088761645738094</v>
      </c>
      <c r="M51" s="86">
        <f ca="1">IF(A51="","",OFFSET('附件2 伸臂重量中之前端等價質量'!$L$10,(MATCH(A51,'附件1 伸臂重心計算'!$E$3:$K$3,0)-1)*3,0,1,1))</f>
        <v>455.61511511511515</v>
      </c>
      <c r="N51" s="86">
        <f ca="1">IF(A51="","",OFFSET('附件2 伸臂重量中之前端等價質量'!$L$33,(MATCH(A51,'附件1 伸臂重心計算'!$E$3:$K$3,0)-1)*3,0,1,1))</f>
        <v>50.761789899408754</v>
      </c>
      <c r="O51" s="87">
        <f t="shared" ca="1" si="4"/>
        <v>0.50637690501452393</v>
      </c>
      <c r="P51" s="88">
        <f t="shared" ca="1" si="5"/>
        <v>3.0407528155803765</v>
      </c>
    </row>
    <row r="52" spans="1:16" ht="21.75" customHeight="1" x14ac:dyDescent="0.55000000000000004">
      <c r="A52" s="99">
        <v>1571</v>
      </c>
      <c r="B52" s="100">
        <v>330</v>
      </c>
      <c r="C52" s="84">
        <f>IF(A52="","",安定度計算!$L$9)</f>
        <v>30</v>
      </c>
      <c r="D52" s="101">
        <v>1000</v>
      </c>
      <c r="E52" s="84">
        <f>IF(A52="","",安定度計算!$L$8+安定度計算!$L$6)</f>
        <v>7391</v>
      </c>
      <c r="F52" s="84">
        <f>IF(A52="","",安定度計算!$L$7)</f>
        <v>999</v>
      </c>
      <c r="G52" s="84">
        <f>IF(A52="","",安定度計算!$L$14)</f>
        <v>480</v>
      </c>
      <c r="H52" s="85">
        <f t="shared" si="0"/>
        <v>50.465908034694237</v>
      </c>
      <c r="I52" s="85">
        <f ca="1">IF(A52="","",OFFSET('附件1 伸臂重心計算'!$L$11,(MATCH(A52,'附件1 伸臂重心計算'!$E$3:$K$3,0)-1)*3,0,1,1))</f>
        <v>597.19619619619618</v>
      </c>
      <c r="J52" s="85">
        <f t="shared" ca="1" si="1"/>
        <v>380.13761692946923</v>
      </c>
      <c r="K52" s="89">
        <f t="shared" ca="1" si="2"/>
        <v>1.8248454219571846</v>
      </c>
      <c r="L52" s="87">
        <f t="shared" ca="1" si="3"/>
        <v>1.5248454219571845</v>
      </c>
      <c r="M52" s="86">
        <f ca="1">IF(A52="","",OFFSET('附件2 伸臂重量中之前端等價質量'!$L$10,(MATCH(A52,'附件1 伸臂重心計算'!$E$3:$K$3,0)-1)*3,0,1,1))</f>
        <v>455.61511511511515</v>
      </c>
      <c r="N52" s="86">
        <f ca="1">IF(A52="","",OFFSET('附件2 伸臂重量中之前端等價質量'!$L$33,(MATCH(A52,'附件1 伸臂重心計算'!$E$3:$K$3,0)-1)*3,0,1,1))</f>
        <v>50.761789899408754</v>
      </c>
      <c r="O52" s="87">
        <f t="shared" ca="1" si="4"/>
        <v>0.50637690501452393</v>
      </c>
      <c r="P52" s="88">
        <f t="shared" ca="1" si="5"/>
        <v>2.8231558198402249</v>
      </c>
    </row>
    <row r="53" spans="1:16" ht="21.75" customHeight="1" x14ac:dyDescent="0.55000000000000004">
      <c r="A53" s="99">
        <v>1571</v>
      </c>
      <c r="B53" s="100">
        <v>330</v>
      </c>
      <c r="C53" s="84">
        <f>IF(A53="","",安定度計算!$L$9)</f>
        <v>30</v>
      </c>
      <c r="D53" s="101">
        <v>1100</v>
      </c>
      <c r="E53" s="84">
        <f>IF(A53="","",安定度計算!$L$8+安定度計算!$L$6)</f>
        <v>7391</v>
      </c>
      <c r="F53" s="84">
        <f>IF(A53="","",安定度計算!$L$7)</f>
        <v>999</v>
      </c>
      <c r="G53" s="84">
        <f>IF(A53="","",安定度計算!$L$14)</f>
        <v>480</v>
      </c>
      <c r="H53" s="85">
        <f t="shared" si="0"/>
        <v>45.557673149359672</v>
      </c>
      <c r="I53" s="85">
        <f ca="1">IF(A53="","",OFFSET('附件1 伸臂重心計算'!$L$11,(MATCH(A53,'附件1 伸臂重心計算'!$E$3:$K$3,0)-1)*3,0,1,1))</f>
        <v>597.19619619619618</v>
      </c>
      <c r="J53" s="85">
        <f t="shared" ca="1" si="1"/>
        <v>418.15137862241619</v>
      </c>
      <c r="K53" s="89">
        <f t="shared" ca="1" si="2"/>
        <v>1.5684962473909376</v>
      </c>
      <c r="L53" s="87">
        <f t="shared" ca="1" si="3"/>
        <v>1.2684962473909376</v>
      </c>
      <c r="M53" s="86">
        <f ca="1">IF(A53="","",OFFSET('附件2 伸臂重量中之前端等價質量'!$L$10,(MATCH(A53,'附件1 伸臂重心計算'!$E$3:$K$3,0)-1)*3,0,1,1))</f>
        <v>455.61511511511515</v>
      </c>
      <c r="N53" s="86">
        <f ca="1">IF(A53="","",OFFSET('附件2 伸臂重量中之前端等價質量'!$L$33,(MATCH(A53,'附件1 伸臂重心計算'!$E$3:$K$3,0)-1)*3,0,1,1))</f>
        <v>50.761789899408754</v>
      </c>
      <c r="O53" s="87">
        <f t="shared" ca="1" si="4"/>
        <v>0.50637690501452393</v>
      </c>
      <c r="P53" s="88">
        <f t="shared" ca="1" si="5"/>
        <v>2.5166562345105761</v>
      </c>
    </row>
    <row r="54" spans="1:16" ht="21.75" customHeight="1" x14ac:dyDescent="0.55000000000000004">
      <c r="A54" s="99">
        <v>1571</v>
      </c>
      <c r="B54" s="100">
        <v>280</v>
      </c>
      <c r="C54" s="84">
        <f>IF(A54="","",安定度計算!$L$9)</f>
        <v>30</v>
      </c>
      <c r="D54" s="101">
        <v>1200</v>
      </c>
      <c r="E54" s="84">
        <f>IF(A54="","",安定度計算!$L$8+安定度計算!$L$6)</f>
        <v>7391</v>
      </c>
      <c r="F54" s="84">
        <f>IF(A54="","",安定度計算!$L$7)</f>
        <v>999</v>
      </c>
      <c r="G54" s="84">
        <f>IF(A54="","",安定度計算!$L$14)</f>
        <v>480</v>
      </c>
      <c r="H54" s="85">
        <f t="shared" si="0"/>
        <v>40.195680702445664</v>
      </c>
      <c r="I54" s="85">
        <f ca="1">IF(A54="","",OFFSET('附件1 伸臂重心計算'!$L$11,(MATCH(A54,'附件1 伸臂重心計算'!$E$3:$K$3,0)-1)*3,0,1,1))</f>
        <v>597.19619619619618</v>
      </c>
      <c r="J54" s="85">
        <f t="shared" ca="1" si="1"/>
        <v>456.16514031536309</v>
      </c>
      <c r="K54" s="89">
        <f t="shared" ca="1" si="2"/>
        <v>1.3655531508593253</v>
      </c>
      <c r="L54" s="87">
        <f t="shared" ca="1" si="3"/>
        <v>1.1155531508593253</v>
      </c>
      <c r="M54" s="86">
        <f ca="1">IF(A54="","",OFFSET('附件2 伸臂重量中之前端等價質量'!$L$10,(MATCH(A54,'附件1 伸臂重心計算'!$E$3:$K$3,0)-1)*3,0,1,1))</f>
        <v>455.61511511511515</v>
      </c>
      <c r="N54" s="86">
        <f ca="1">IF(A54="","",OFFSET('附件2 伸臂重量中之前端等價質量'!$L$33,(MATCH(A54,'附件1 伸臂重心計算'!$E$3:$K$3,0)-1)*3,0,1,1))</f>
        <v>50.761789899408754</v>
      </c>
      <c r="O54" s="87">
        <f t="shared" ca="1" si="4"/>
        <v>0.50637690501452393</v>
      </c>
      <c r="P54" s="88">
        <f t="shared" ca="1" si="5"/>
        <v>2.4185985673609292</v>
      </c>
    </row>
    <row r="55" spans="1:16" ht="21.75" customHeight="1" x14ac:dyDescent="0.55000000000000004">
      <c r="A55" s="99">
        <v>1571</v>
      </c>
      <c r="B55" s="100">
        <v>280</v>
      </c>
      <c r="C55" s="84">
        <f>IF(A55="","",安定度計算!$L$9)</f>
        <v>30</v>
      </c>
      <c r="D55" s="101">
        <v>1300</v>
      </c>
      <c r="E55" s="84">
        <f>IF(A55="","",安定度計算!$L$8+安定度計算!$L$6)</f>
        <v>7391</v>
      </c>
      <c r="F55" s="84">
        <f>IF(A55="","",安定度計算!$L$7)</f>
        <v>999</v>
      </c>
      <c r="G55" s="84">
        <f>IF(A55="","",安定度計算!$L$14)</f>
        <v>480</v>
      </c>
      <c r="H55" s="85">
        <f t="shared" si="0"/>
        <v>34.157384869602723</v>
      </c>
      <c r="I55" s="85">
        <f ca="1">IF(A55="","",OFFSET('附件1 伸臂重心計算'!$L$11,(MATCH(A55,'附件1 伸臂重心計算'!$E$3:$K$3,0)-1)*3,0,1,1))</f>
        <v>597.19619619619618</v>
      </c>
      <c r="J55" s="85">
        <f t="shared" ca="1" si="1"/>
        <v>494.17890200830999</v>
      </c>
      <c r="K55" s="89">
        <f t="shared" ca="1" si="2"/>
        <v>1.2009012046166965</v>
      </c>
      <c r="L55" s="87">
        <f t="shared" ca="1" si="3"/>
        <v>0.95090120461669647</v>
      </c>
      <c r="M55" s="86">
        <f ca="1">IF(A55="","",OFFSET('附件2 伸臂重量中之前端等價質量'!$L$10,(MATCH(A55,'附件1 伸臂重心計算'!$E$3:$K$3,0)-1)*3,0,1,1))</f>
        <v>455.61511511511515</v>
      </c>
      <c r="N55" s="86">
        <f ca="1">IF(A55="","",OFFSET('附件2 伸臂重量中之前端等價質量'!$L$33,(MATCH(A55,'附件1 伸臂重心計算'!$E$3:$K$3,0)-1)*3,0,1,1))</f>
        <v>50.761789899408754</v>
      </c>
      <c r="O55" s="87">
        <f t="shared" ca="1" si="4"/>
        <v>0.50637690501452393</v>
      </c>
      <c r="P55" s="88">
        <f t="shared" ca="1" si="5"/>
        <v>2.2092181224461744</v>
      </c>
    </row>
    <row r="56" spans="1:16" ht="21.75" customHeight="1" x14ac:dyDescent="0.55000000000000004">
      <c r="A56" s="99">
        <v>1571</v>
      </c>
      <c r="B56" s="100">
        <v>250</v>
      </c>
      <c r="C56" s="84">
        <f>IF(A56="","",安定度計算!$L$9)</f>
        <v>30</v>
      </c>
      <c r="D56" s="101">
        <v>1400</v>
      </c>
      <c r="E56" s="84">
        <f>IF(A56="","",安定度計算!$L$8+安定度計算!$L$6)</f>
        <v>7391</v>
      </c>
      <c r="F56" s="84">
        <f>IF(A56="","",安定度計算!$L$7)</f>
        <v>999</v>
      </c>
      <c r="G56" s="84">
        <f>IF(A56="","",安定度計算!$L$14)</f>
        <v>480</v>
      </c>
      <c r="H56" s="85">
        <f t="shared" si="0"/>
        <v>26.981617757383571</v>
      </c>
      <c r="I56" s="85">
        <f ca="1">IF(A56="","",OFFSET('附件1 伸臂重心計算'!$L$11,(MATCH(A56,'附件1 伸臂重心計算'!$E$3:$K$3,0)-1)*3,0,1,1))</f>
        <v>597.19619619619618</v>
      </c>
      <c r="J56" s="85">
        <f t="shared" ca="1" si="1"/>
        <v>532.19266370125695</v>
      </c>
      <c r="K56" s="89">
        <f t="shared" ca="1" si="2"/>
        <v>1.0646375249676243</v>
      </c>
      <c r="L56" s="87">
        <f t="shared" ca="1" si="3"/>
        <v>0.84463752496762434</v>
      </c>
      <c r="M56" s="86">
        <f ca="1">IF(A56="","",OFFSET('附件2 伸臂重量中之前端等價質量'!$L$10,(MATCH(A56,'附件1 伸臂重心計算'!$E$3:$K$3,0)-1)*3,0,1,1))</f>
        <v>455.61511511511515</v>
      </c>
      <c r="N56" s="86">
        <f ca="1">IF(A56="","",OFFSET('附件2 伸臂重量中之前端等價質量'!$L$33,(MATCH(A56,'附件1 伸臂重心計算'!$E$3:$K$3,0)-1)*3,0,1,1))</f>
        <v>50.761789899408754</v>
      </c>
      <c r="O56" s="87">
        <f t="shared" ca="1" si="4"/>
        <v>0.50637690501452393</v>
      </c>
      <c r="P56" s="88">
        <f t="shared" ca="1" si="5"/>
        <v>2.1166886764627031</v>
      </c>
    </row>
    <row r="57" spans="1:16" ht="21.75" customHeight="1" x14ac:dyDescent="0.55000000000000004">
      <c r="A57" s="99">
        <v>1571</v>
      </c>
      <c r="B57" s="100">
        <v>230</v>
      </c>
      <c r="C57" s="84">
        <f>IF(A57="","",安定度計算!$L$9)</f>
        <v>30</v>
      </c>
      <c r="D57" s="101">
        <v>1547</v>
      </c>
      <c r="E57" s="84">
        <f>IF(A57="","",安定度計算!$L$8+安定度計算!$L$6)</f>
        <v>7391</v>
      </c>
      <c r="F57" s="84">
        <f>IF(A57="","",安定度計算!$L$7)</f>
        <v>999</v>
      </c>
      <c r="G57" s="84">
        <f>IF(A57="","",安定度計算!$L$14)</f>
        <v>480</v>
      </c>
      <c r="H57" s="85">
        <f t="shared" si="0"/>
        <v>10.027890958277057</v>
      </c>
      <c r="I57" s="85">
        <f ca="1">IF(A57="","",OFFSET('附件1 伸臂重心計算'!$L$11,(MATCH(A57,'附件1 伸臂重心計算'!$E$3:$K$3,0)-1)*3,0,1,1))</f>
        <v>597.19619619619618</v>
      </c>
      <c r="J57" s="85">
        <f t="shared" ca="1" si="1"/>
        <v>588.07289338988892</v>
      </c>
      <c r="K57" s="89">
        <f t="shared" ca="1" si="2"/>
        <v>0.90218452907689439</v>
      </c>
      <c r="L57" s="87">
        <f t="shared" ca="1" si="3"/>
        <v>0.70218452907689444</v>
      </c>
      <c r="M57" s="86">
        <f ca="1">IF(A57="","",OFFSET('附件2 伸臂重量中之前端等價質量'!$L$10,(MATCH(A57,'附件1 伸臂重心計算'!$E$3:$K$3,0)-1)*3,0,1,1))</f>
        <v>455.61511511511515</v>
      </c>
      <c r="N57" s="86">
        <f ca="1">IF(A57="","",OFFSET('附件2 伸臂重量中之前端等價質量'!$L$33,(MATCH(A57,'附件1 伸臂重心計算'!$E$3:$K$3,0)-1)*3,0,1,1))</f>
        <v>50.761789899408754</v>
      </c>
      <c r="O57" s="87">
        <f t="shared" ca="1" si="4"/>
        <v>0.50637690501452393</v>
      </c>
      <c r="P57" s="88">
        <f t="shared" ca="1" si="5"/>
        <v>1.9535667459085302</v>
      </c>
    </row>
    <row r="58" spans="1:16" ht="21.75" customHeight="1" x14ac:dyDescent="0.55000000000000004">
      <c r="A58" s="99"/>
      <c r="B58" s="100"/>
      <c r="C58" s="84" t="str">
        <f>IF(A58="","",安定度計算!$L$9)</f>
        <v/>
      </c>
      <c r="D58" s="101"/>
      <c r="E58" s="84" t="str">
        <f>IF(A58="","",安定度計算!$L$8+安定度計算!$L$6)</f>
        <v/>
      </c>
      <c r="F58" s="84" t="str">
        <f>IF(A58="","",安定度計算!$L$7)</f>
        <v/>
      </c>
      <c r="G58" s="84" t="str">
        <f>IF(A58="","",安定度計算!$L$14)</f>
        <v/>
      </c>
      <c r="H58" s="85" t="str">
        <f t="shared" si="0"/>
        <v/>
      </c>
      <c r="I58" s="85" t="str">
        <f ca="1">IF(A58="","",OFFSET('附件1 伸臂重心計算'!$L$11,(MATCH(A58,'附件1 伸臂重心計算'!$E$3:$K$3,0)-1)*3,0,1,1))</f>
        <v/>
      </c>
      <c r="J58" s="85" t="str">
        <f t="shared" si="1"/>
        <v/>
      </c>
      <c r="K58" s="89" t="str">
        <f t="shared" si="2"/>
        <v/>
      </c>
      <c r="L58" s="87" t="str">
        <f t="shared" si="3"/>
        <v/>
      </c>
      <c r="M58" s="86" t="str">
        <f ca="1">IF(A58="","",OFFSET('附件2 伸臂重量中之前端等價質量'!$L$10,(MATCH(A58,'附件1 伸臂重心計算'!$E$3:$K$3,0)-1)*3,0,1,1))</f>
        <v/>
      </c>
      <c r="N58" s="86" t="str">
        <f ca="1">IF(A58="","",OFFSET('附件2 伸臂重量中之前端等價質量'!$L$33,(MATCH(A58,'附件1 伸臂重心計算'!$E$3:$K$3,0)-1)*3,0,1,1))</f>
        <v/>
      </c>
      <c r="O58" s="87" t="str">
        <f t="shared" si="4"/>
        <v/>
      </c>
      <c r="P58" s="88" t="str">
        <f t="shared" si="5"/>
        <v/>
      </c>
    </row>
    <row r="59" spans="1:16" ht="21.75" customHeight="1" x14ac:dyDescent="0.55000000000000004">
      <c r="A59" s="99"/>
      <c r="B59" s="100"/>
      <c r="C59" s="84" t="str">
        <f>IF(A59="","",安定度計算!$L$9)</f>
        <v/>
      </c>
      <c r="D59" s="101"/>
      <c r="E59" s="84" t="str">
        <f>IF(A59="","",安定度計算!$L$8+安定度計算!$L$6)</f>
        <v/>
      </c>
      <c r="F59" s="84" t="str">
        <f>IF(A59="","",安定度計算!$L$7)</f>
        <v/>
      </c>
      <c r="G59" s="84" t="str">
        <f>IF(A59="","",安定度計算!$L$14)</f>
        <v/>
      </c>
      <c r="H59" s="85" t="str">
        <f t="shared" si="0"/>
        <v/>
      </c>
      <c r="I59" s="85" t="str">
        <f ca="1">IF(A59="","",OFFSET('附件1 伸臂重心計算'!$L$11,(MATCH(A59,'附件1 伸臂重心計算'!$E$3:$K$3,0)-1)*3,0,1,1))</f>
        <v/>
      </c>
      <c r="J59" s="85" t="str">
        <f t="shared" si="1"/>
        <v/>
      </c>
      <c r="K59" s="89" t="str">
        <f t="shared" si="2"/>
        <v/>
      </c>
      <c r="L59" s="87" t="str">
        <f t="shared" si="3"/>
        <v/>
      </c>
      <c r="M59" s="86" t="str">
        <f ca="1">IF(A59="","",OFFSET('附件2 伸臂重量中之前端等價質量'!$L$10,(MATCH(A59,'附件1 伸臂重心計算'!$E$3:$K$3,0)-1)*3,0,1,1))</f>
        <v/>
      </c>
      <c r="N59" s="86" t="str">
        <f ca="1">IF(A59="","",OFFSET('附件2 伸臂重量中之前端等價質量'!$L$33,(MATCH(A59,'附件1 伸臂重心計算'!$E$3:$K$3,0)-1)*3,0,1,1))</f>
        <v/>
      </c>
      <c r="O59" s="87" t="str">
        <f t="shared" si="4"/>
        <v/>
      </c>
      <c r="P59" s="88" t="str">
        <f t="shared" si="5"/>
        <v/>
      </c>
    </row>
    <row r="60" spans="1:16" ht="21.75" customHeight="1" x14ac:dyDescent="0.55000000000000004">
      <c r="A60" s="99"/>
      <c r="B60" s="100"/>
      <c r="C60" s="84" t="str">
        <f>IF(A60="","",安定度計算!$L$9)</f>
        <v/>
      </c>
      <c r="D60" s="101"/>
      <c r="E60" s="84" t="str">
        <f>IF(A60="","",安定度計算!$L$8+安定度計算!$L$6)</f>
        <v/>
      </c>
      <c r="F60" s="84" t="str">
        <f>IF(A60="","",安定度計算!$L$7)</f>
        <v/>
      </c>
      <c r="G60" s="84" t="str">
        <f>IF(A60="","",安定度計算!$L$14)</f>
        <v/>
      </c>
      <c r="H60" s="85" t="str">
        <f t="shared" si="0"/>
        <v/>
      </c>
      <c r="I60" s="85" t="str">
        <f ca="1">IF(A60="","",OFFSET('附件1 伸臂重心計算'!$L$11,(MATCH(A60,'附件1 伸臂重心計算'!$E$3:$K$3,0)-1)*3,0,1,1))</f>
        <v/>
      </c>
      <c r="J60" s="85" t="str">
        <f t="shared" si="1"/>
        <v/>
      </c>
      <c r="K60" s="89" t="str">
        <f t="shared" si="2"/>
        <v/>
      </c>
      <c r="L60" s="87" t="str">
        <f t="shared" si="3"/>
        <v/>
      </c>
      <c r="M60" s="86" t="str">
        <f ca="1">IF(A60="","",OFFSET('附件2 伸臂重量中之前端等價質量'!$L$10,(MATCH(A60,'附件1 伸臂重心計算'!$E$3:$K$3,0)-1)*3,0,1,1))</f>
        <v/>
      </c>
      <c r="N60" s="86" t="str">
        <f ca="1">IF(A60="","",OFFSET('附件2 伸臂重量中之前端等價質量'!$L$33,(MATCH(A60,'附件1 伸臂重心計算'!$E$3:$K$3,0)-1)*3,0,1,1))</f>
        <v/>
      </c>
      <c r="O60" s="87" t="str">
        <f t="shared" si="4"/>
        <v/>
      </c>
      <c r="P60" s="88" t="str">
        <f t="shared" si="5"/>
        <v/>
      </c>
    </row>
    <row r="61" spans="1:16" ht="21.75" customHeight="1" x14ac:dyDescent="0.55000000000000004">
      <c r="A61" s="99"/>
      <c r="B61" s="100"/>
      <c r="C61" s="84" t="str">
        <f>IF(A61="","",安定度計算!$L$9)</f>
        <v/>
      </c>
      <c r="D61" s="101"/>
      <c r="E61" s="84" t="str">
        <f>IF(A61="","",安定度計算!$L$8+安定度計算!$L$6)</f>
        <v/>
      </c>
      <c r="F61" s="84" t="str">
        <f>IF(A61="","",安定度計算!$L$7)</f>
        <v/>
      </c>
      <c r="G61" s="84" t="str">
        <f>IF(A61="","",安定度計算!$L$14)</f>
        <v/>
      </c>
      <c r="H61" s="85" t="str">
        <f t="shared" si="0"/>
        <v/>
      </c>
      <c r="I61" s="85" t="str">
        <f ca="1">IF(A61="","",OFFSET('附件1 伸臂重心計算'!$L$11,(MATCH(A61,'附件1 伸臂重心計算'!$E$3:$K$3,0)-1)*3,0,1,1))</f>
        <v/>
      </c>
      <c r="J61" s="85" t="str">
        <f t="shared" si="1"/>
        <v/>
      </c>
      <c r="K61" s="89" t="str">
        <f t="shared" si="2"/>
        <v/>
      </c>
      <c r="L61" s="87" t="str">
        <f t="shared" si="3"/>
        <v/>
      </c>
      <c r="M61" s="86" t="str">
        <f ca="1">IF(A61="","",OFFSET('附件2 伸臂重量中之前端等價質量'!$L$10,(MATCH(A61,'附件1 伸臂重心計算'!$E$3:$K$3,0)-1)*3,0,1,1))</f>
        <v/>
      </c>
      <c r="N61" s="86" t="str">
        <f ca="1">IF(A61="","",OFFSET('附件2 伸臂重量中之前端等價質量'!$L$33,(MATCH(A61,'附件1 伸臂重心計算'!$E$3:$K$3,0)-1)*3,0,1,1))</f>
        <v/>
      </c>
      <c r="O61" s="87" t="str">
        <f t="shared" si="4"/>
        <v/>
      </c>
      <c r="P61" s="88" t="str">
        <f t="shared" si="5"/>
        <v/>
      </c>
    </row>
    <row r="62" spans="1:16" ht="21.75" customHeight="1" x14ac:dyDescent="0.55000000000000004">
      <c r="A62" s="99"/>
      <c r="B62" s="100"/>
      <c r="C62" s="84" t="str">
        <f>IF(A62="","",安定度計算!$L$9)</f>
        <v/>
      </c>
      <c r="D62" s="101"/>
      <c r="E62" s="84" t="str">
        <f>IF(A62="","",安定度計算!$L$8+安定度計算!$L$6)</f>
        <v/>
      </c>
      <c r="F62" s="84" t="str">
        <f>IF(A62="","",安定度計算!$L$7)</f>
        <v/>
      </c>
      <c r="G62" s="84" t="str">
        <f>IF(A62="","",安定度計算!$L$14)</f>
        <v/>
      </c>
      <c r="H62" s="85" t="str">
        <f t="shared" si="0"/>
        <v/>
      </c>
      <c r="I62" s="85" t="str">
        <f ca="1">IF(A62="","",OFFSET('附件1 伸臂重心計算'!$L$11,(MATCH(A62,'附件1 伸臂重心計算'!$E$3:$K$3,0)-1)*3,0,1,1))</f>
        <v/>
      </c>
      <c r="J62" s="85" t="str">
        <f t="shared" si="1"/>
        <v/>
      </c>
      <c r="K62" s="89" t="str">
        <f t="shared" si="2"/>
        <v/>
      </c>
      <c r="L62" s="87" t="str">
        <f t="shared" si="3"/>
        <v/>
      </c>
      <c r="M62" s="86" t="str">
        <f ca="1">IF(A62="","",OFFSET('附件2 伸臂重量中之前端等價質量'!$L$10,(MATCH(A62,'附件1 伸臂重心計算'!$E$3:$K$3,0)-1)*3,0,1,1))</f>
        <v/>
      </c>
      <c r="N62" s="86" t="str">
        <f ca="1">IF(A62="","",OFFSET('附件2 伸臂重量中之前端等價質量'!$L$33,(MATCH(A62,'附件1 伸臂重心計算'!$E$3:$K$3,0)-1)*3,0,1,1))</f>
        <v/>
      </c>
      <c r="O62" s="87" t="str">
        <f t="shared" si="4"/>
        <v/>
      </c>
      <c r="P62" s="88" t="str">
        <f t="shared" si="5"/>
        <v/>
      </c>
    </row>
    <row r="63" spans="1:16" ht="21.75" customHeight="1" x14ac:dyDescent="0.55000000000000004">
      <c r="A63" s="99"/>
      <c r="B63" s="100"/>
      <c r="C63" s="84" t="str">
        <f>IF(A63="","",安定度計算!$L$9)</f>
        <v/>
      </c>
      <c r="D63" s="101"/>
      <c r="E63" s="84" t="str">
        <f>IF(A63="","",安定度計算!$L$8+安定度計算!$L$6)</f>
        <v/>
      </c>
      <c r="F63" s="84" t="str">
        <f>IF(A63="","",安定度計算!$L$7)</f>
        <v/>
      </c>
      <c r="G63" s="84" t="str">
        <f>IF(A63="","",安定度計算!$L$14)</f>
        <v/>
      </c>
      <c r="H63" s="85" t="str">
        <f t="shared" si="0"/>
        <v/>
      </c>
      <c r="I63" s="85" t="str">
        <f ca="1">IF(A63="","",OFFSET('附件1 伸臂重心計算'!$L$11,(MATCH(A63,'附件1 伸臂重心計算'!$E$3:$K$3,0)-1)*3,0,1,1))</f>
        <v/>
      </c>
      <c r="J63" s="85" t="str">
        <f t="shared" si="1"/>
        <v/>
      </c>
      <c r="K63" s="89" t="str">
        <f t="shared" si="2"/>
        <v/>
      </c>
      <c r="L63" s="87" t="str">
        <f t="shared" si="3"/>
        <v/>
      </c>
      <c r="M63" s="86" t="str">
        <f ca="1">IF(A63="","",OFFSET('附件2 伸臂重量中之前端等價質量'!$L$10,(MATCH(A63,'附件1 伸臂重心計算'!$E$3:$K$3,0)-1)*3,0,1,1))</f>
        <v/>
      </c>
      <c r="N63" s="86" t="str">
        <f ca="1">IF(A63="","",OFFSET('附件2 伸臂重量中之前端等價質量'!$L$33,(MATCH(A63,'附件1 伸臂重心計算'!$E$3:$K$3,0)-1)*3,0,1,1))</f>
        <v/>
      </c>
      <c r="O63" s="87" t="str">
        <f t="shared" si="4"/>
        <v/>
      </c>
      <c r="P63" s="88" t="str">
        <f t="shared" si="5"/>
        <v/>
      </c>
    </row>
    <row r="64" spans="1:16" ht="21.75" customHeight="1" x14ac:dyDescent="0.55000000000000004">
      <c r="A64" s="99"/>
      <c r="B64" s="100"/>
      <c r="C64" s="84" t="str">
        <f>IF(A64="","",安定度計算!$L$9)</f>
        <v/>
      </c>
      <c r="D64" s="101"/>
      <c r="E64" s="84" t="str">
        <f>IF(A64="","",安定度計算!$L$8+安定度計算!$L$6)</f>
        <v/>
      </c>
      <c r="F64" s="84" t="str">
        <f>IF(A64="","",安定度計算!$L$7)</f>
        <v/>
      </c>
      <c r="G64" s="84" t="str">
        <f>IF(A64="","",安定度計算!$L$14)</f>
        <v/>
      </c>
      <c r="H64" s="85" t="str">
        <f t="shared" si="0"/>
        <v/>
      </c>
      <c r="I64" s="85" t="str">
        <f ca="1">IF(A64="","",OFFSET('附件1 伸臂重心計算'!$L$11,(MATCH(A64,'附件1 伸臂重心計算'!$E$3:$K$3,0)-1)*3,0,1,1))</f>
        <v/>
      </c>
      <c r="J64" s="85" t="str">
        <f t="shared" si="1"/>
        <v/>
      </c>
      <c r="K64" s="89" t="str">
        <f t="shared" si="2"/>
        <v/>
      </c>
      <c r="L64" s="87" t="str">
        <f t="shared" si="3"/>
        <v/>
      </c>
      <c r="M64" s="86" t="str">
        <f ca="1">IF(A64="","",OFFSET('附件2 伸臂重量中之前端等價質量'!$L$10,(MATCH(A64,'附件1 伸臂重心計算'!$E$3:$K$3,0)-1)*3,0,1,1))</f>
        <v/>
      </c>
      <c r="N64" s="86" t="str">
        <f ca="1">IF(A64="","",OFFSET('附件2 伸臂重量中之前端等價質量'!$L$33,(MATCH(A64,'附件1 伸臂重心計算'!$E$3:$K$3,0)-1)*3,0,1,1))</f>
        <v/>
      </c>
      <c r="O64" s="87" t="str">
        <f t="shared" si="4"/>
        <v/>
      </c>
      <c r="P64" s="88" t="str">
        <f t="shared" si="5"/>
        <v/>
      </c>
    </row>
    <row r="65" spans="1:16" ht="21.75" customHeight="1" x14ac:dyDescent="0.55000000000000004">
      <c r="A65" s="99"/>
      <c r="B65" s="100"/>
      <c r="C65" s="84" t="str">
        <f>IF(A65="","",安定度計算!$L$9)</f>
        <v/>
      </c>
      <c r="D65" s="101"/>
      <c r="E65" s="84" t="str">
        <f>IF(A65="","",安定度計算!$L$8+安定度計算!$L$6)</f>
        <v/>
      </c>
      <c r="F65" s="84" t="str">
        <f>IF(A65="","",安定度計算!$L$7)</f>
        <v/>
      </c>
      <c r="G65" s="84" t="str">
        <f>IF(A65="","",安定度計算!$L$14)</f>
        <v/>
      </c>
      <c r="H65" s="85" t="str">
        <f t="shared" si="0"/>
        <v/>
      </c>
      <c r="I65" s="85" t="str">
        <f ca="1">IF(A65="","",OFFSET('附件1 伸臂重心計算'!$L$11,(MATCH(A65,'附件1 伸臂重心計算'!$E$3:$K$3,0)-1)*3,0,1,1))</f>
        <v/>
      </c>
      <c r="J65" s="85" t="str">
        <f t="shared" si="1"/>
        <v/>
      </c>
      <c r="K65" s="89" t="str">
        <f t="shared" si="2"/>
        <v/>
      </c>
      <c r="L65" s="87" t="str">
        <f t="shared" si="3"/>
        <v/>
      </c>
      <c r="M65" s="86" t="str">
        <f ca="1">IF(A65="","",OFFSET('附件2 伸臂重量中之前端等價質量'!$L$10,(MATCH(A65,'附件1 伸臂重心計算'!$E$3:$K$3,0)-1)*3,0,1,1))</f>
        <v/>
      </c>
      <c r="N65" s="86" t="str">
        <f ca="1">IF(A65="","",OFFSET('附件2 伸臂重量中之前端等價質量'!$L$33,(MATCH(A65,'附件1 伸臂重心計算'!$E$3:$K$3,0)-1)*3,0,1,1))</f>
        <v/>
      </c>
      <c r="O65" s="87" t="str">
        <f t="shared" si="4"/>
        <v/>
      </c>
      <c r="P65" s="88" t="str">
        <f t="shared" si="5"/>
        <v/>
      </c>
    </row>
    <row r="66" spans="1:16" ht="15.4" x14ac:dyDescent="0.55000000000000004">
      <c r="A66" s="83"/>
    </row>
    <row r="67" spans="1:16" ht="15.4" x14ac:dyDescent="0.55000000000000004">
      <c r="A67" s="83"/>
    </row>
    <row r="68" spans="1:16" ht="15.4" x14ac:dyDescent="0.55000000000000004">
      <c r="A68" s="83"/>
    </row>
    <row r="69" spans="1:16" ht="15.4" x14ac:dyDescent="0.55000000000000004">
      <c r="A69" s="83"/>
    </row>
    <row r="70" spans="1:16" ht="15.4" x14ac:dyDescent="0.55000000000000004">
      <c r="A70" s="83"/>
    </row>
    <row r="71" spans="1:16" ht="15.4" x14ac:dyDescent="0.55000000000000004">
      <c r="A71" s="83"/>
    </row>
    <row r="72" spans="1:16" ht="15.4" x14ac:dyDescent="0.55000000000000004">
      <c r="A72" s="83"/>
    </row>
    <row r="73" spans="1:16" x14ac:dyDescent="0.25">
      <c r="A73" s="83"/>
    </row>
    <row r="74" spans="1:16" x14ac:dyDescent="0.25">
      <c r="A74" s="83"/>
    </row>
    <row r="75" spans="1:16" x14ac:dyDescent="0.25">
      <c r="A75" s="83"/>
    </row>
    <row r="76" spans="1:16" x14ac:dyDescent="0.25">
      <c r="A76" s="83"/>
    </row>
    <row r="77" spans="1:16" x14ac:dyDescent="0.25">
      <c r="A77" s="83"/>
    </row>
    <row r="78" spans="1:16" x14ac:dyDescent="0.25">
      <c r="A78" s="83"/>
    </row>
    <row r="79" spans="1:16" x14ac:dyDescent="0.25">
      <c r="A79" s="83"/>
    </row>
    <row r="80" spans="1:16" x14ac:dyDescent="0.25">
      <c r="A80" s="83"/>
    </row>
    <row r="81" spans="1:1" x14ac:dyDescent="0.25">
      <c r="A81" s="83"/>
    </row>
    <row r="82" spans="1:1" x14ac:dyDescent="0.25">
      <c r="A82" s="83"/>
    </row>
    <row r="83" spans="1:1" x14ac:dyDescent="0.25">
      <c r="A83" s="83"/>
    </row>
    <row r="84" spans="1:1" x14ac:dyDescent="0.25">
      <c r="A84" s="83"/>
    </row>
    <row r="85" spans="1:1" x14ac:dyDescent="0.25">
      <c r="A85" s="83"/>
    </row>
    <row r="86" spans="1:1" x14ac:dyDescent="0.25">
      <c r="A86" s="83"/>
    </row>
    <row r="87" spans="1:1" x14ac:dyDescent="0.25">
      <c r="A87" s="83"/>
    </row>
    <row r="88" spans="1:1" x14ac:dyDescent="0.25">
      <c r="A88" s="83"/>
    </row>
    <row r="89" spans="1:1" x14ac:dyDescent="0.25">
      <c r="A89" s="83"/>
    </row>
    <row r="90" spans="1:1" x14ac:dyDescent="0.25">
      <c r="A90" s="83"/>
    </row>
    <row r="91" spans="1:1" x14ac:dyDescent="0.25">
      <c r="A91" s="83"/>
    </row>
    <row r="92" spans="1:1" x14ac:dyDescent="0.25">
      <c r="A92" s="83"/>
    </row>
    <row r="93" spans="1:1" x14ac:dyDescent="0.25">
      <c r="A93" s="83"/>
    </row>
    <row r="94" spans="1:1" x14ac:dyDescent="0.25">
      <c r="A94" s="83"/>
    </row>
    <row r="95" spans="1:1" x14ac:dyDescent="0.25">
      <c r="A95" s="83"/>
    </row>
    <row r="96" spans="1:1" x14ac:dyDescent="0.25">
      <c r="A96" s="83"/>
    </row>
    <row r="97" spans="1:1" x14ac:dyDescent="0.25">
      <c r="A97" s="83"/>
    </row>
    <row r="98" spans="1:1" x14ac:dyDescent="0.25">
      <c r="A98" s="83"/>
    </row>
    <row r="99" spans="1:1" x14ac:dyDescent="0.25">
      <c r="A99" s="83"/>
    </row>
    <row r="100" spans="1:1" x14ac:dyDescent="0.25">
      <c r="A100" s="83"/>
    </row>
    <row r="101" spans="1:1" x14ac:dyDescent="0.25">
      <c r="A101" s="83"/>
    </row>
    <row r="102" spans="1:1" x14ac:dyDescent="0.25">
      <c r="A102" s="83"/>
    </row>
    <row r="103" spans="1:1" x14ac:dyDescent="0.25">
      <c r="A103" s="83"/>
    </row>
    <row r="104" spans="1:1" x14ac:dyDescent="0.25">
      <c r="A104" s="83"/>
    </row>
    <row r="105" spans="1:1" x14ac:dyDescent="0.25">
      <c r="A105" s="83"/>
    </row>
    <row r="106" spans="1:1" x14ac:dyDescent="0.25">
      <c r="A106" s="83"/>
    </row>
    <row r="107" spans="1:1" x14ac:dyDescent="0.25">
      <c r="A107" s="83"/>
    </row>
    <row r="108" spans="1:1" x14ac:dyDescent="0.25">
      <c r="A108" s="83"/>
    </row>
    <row r="109" spans="1:1" x14ac:dyDescent="0.25">
      <c r="A109" s="83"/>
    </row>
    <row r="110" spans="1:1" x14ac:dyDescent="0.25">
      <c r="A110" s="83"/>
    </row>
    <row r="111" spans="1:1" x14ac:dyDescent="0.25">
      <c r="A111" s="83"/>
    </row>
    <row r="112" spans="1:1" x14ac:dyDescent="0.25">
      <c r="A112" s="83"/>
    </row>
    <row r="113" spans="1:1" x14ac:dyDescent="0.25">
      <c r="A113" s="83"/>
    </row>
    <row r="114" spans="1:1" x14ac:dyDescent="0.25">
      <c r="A114" s="83"/>
    </row>
    <row r="115" spans="1:1" x14ac:dyDescent="0.25">
      <c r="A115" s="83"/>
    </row>
    <row r="116" spans="1:1" x14ac:dyDescent="0.25">
      <c r="A116" s="83"/>
    </row>
    <row r="117" spans="1:1" x14ac:dyDescent="0.25">
      <c r="A117" s="83"/>
    </row>
    <row r="118" spans="1:1" x14ac:dyDescent="0.25">
      <c r="A118" s="83"/>
    </row>
    <row r="119" spans="1:1" x14ac:dyDescent="0.25">
      <c r="A119" s="83"/>
    </row>
    <row r="120" spans="1:1" x14ac:dyDescent="0.25">
      <c r="A120" s="83"/>
    </row>
    <row r="121" spans="1:1" x14ac:dyDescent="0.25">
      <c r="A121" s="83"/>
    </row>
    <row r="122" spans="1:1" x14ac:dyDescent="0.25">
      <c r="A122" s="83"/>
    </row>
    <row r="123" spans="1:1" x14ac:dyDescent="0.25">
      <c r="A123" s="83"/>
    </row>
    <row r="124" spans="1:1" x14ac:dyDescent="0.25">
      <c r="A124" s="83"/>
    </row>
    <row r="125" spans="1:1" x14ac:dyDescent="0.25">
      <c r="A125" s="83"/>
    </row>
    <row r="126" spans="1:1" x14ac:dyDescent="0.25">
      <c r="A126" s="83"/>
    </row>
    <row r="127" spans="1:1" x14ac:dyDescent="0.25">
      <c r="A127" s="83"/>
    </row>
    <row r="128" spans="1:1" x14ac:dyDescent="0.25">
      <c r="A128" s="83"/>
    </row>
    <row r="129" spans="1:1" x14ac:dyDescent="0.25">
      <c r="A129" s="83"/>
    </row>
    <row r="130" spans="1:1" x14ac:dyDescent="0.25">
      <c r="A130" s="83"/>
    </row>
    <row r="131" spans="1:1" x14ac:dyDescent="0.25">
      <c r="A131" s="83"/>
    </row>
    <row r="132" spans="1:1" x14ac:dyDescent="0.25">
      <c r="A132" s="83"/>
    </row>
    <row r="133" spans="1:1" x14ac:dyDescent="0.25">
      <c r="A133" s="83"/>
    </row>
    <row r="134" spans="1:1" x14ac:dyDescent="0.25">
      <c r="A134" s="83"/>
    </row>
    <row r="135" spans="1:1" x14ac:dyDescent="0.25">
      <c r="A135" s="83"/>
    </row>
    <row r="136" spans="1:1" x14ac:dyDescent="0.25">
      <c r="A136" s="83"/>
    </row>
    <row r="137" spans="1:1" x14ac:dyDescent="0.25">
      <c r="A137" s="83"/>
    </row>
    <row r="138" spans="1:1" x14ac:dyDescent="0.25">
      <c r="A138" s="83"/>
    </row>
    <row r="139" spans="1:1" x14ac:dyDescent="0.25">
      <c r="A139" s="83"/>
    </row>
    <row r="140" spans="1:1" x14ac:dyDescent="0.25">
      <c r="A140" s="83"/>
    </row>
    <row r="141" spans="1:1" x14ac:dyDescent="0.25">
      <c r="A141" s="83"/>
    </row>
    <row r="142" spans="1:1" x14ac:dyDescent="0.25">
      <c r="A142" s="83"/>
    </row>
    <row r="143" spans="1:1" x14ac:dyDescent="0.25">
      <c r="A143" s="83"/>
    </row>
    <row r="144" spans="1:1" x14ac:dyDescent="0.25">
      <c r="A144" s="83"/>
    </row>
    <row r="145" spans="1:1" x14ac:dyDescent="0.25">
      <c r="A145" s="83"/>
    </row>
    <row r="146" spans="1:1" x14ac:dyDescent="0.25">
      <c r="A146" s="83"/>
    </row>
    <row r="147" spans="1:1" x14ac:dyDescent="0.25">
      <c r="A147" s="83"/>
    </row>
    <row r="148" spans="1:1" x14ac:dyDescent="0.25">
      <c r="A148" s="83"/>
    </row>
    <row r="149" spans="1:1" x14ac:dyDescent="0.25">
      <c r="A149" s="83"/>
    </row>
    <row r="150" spans="1:1" x14ac:dyDescent="0.25">
      <c r="A150" s="83"/>
    </row>
    <row r="151" spans="1:1" x14ac:dyDescent="0.25">
      <c r="A151" s="83"/>
    </row>
    <row r="152" spans="1:1" x14ac:dyDescent="0.25">
      <c r="A152" s="83"/>
    </row>
    <row r="153" spans="1:1" x14ac:dyDescent="0.25">
      <c r="A153" s="83"/>
    </row>
    <row r="154" spans="1:1" x14ac:dyDescent="0.25">
      <c r="A154" s="83"/>
    </row>
    <row r="155" spans="1:1" x14ac:dyDescent="0.25">
      <c r="A155" s="83"/>
    </row>
    <row r="156" spans="1:1" x14ac:dyDescent="0.25">
      <c r="A156" s="83"/>
    </row>
    <row r="157" spans="1:1" x14ac:dyDescent="0.25">
      <c r="A157" s="83"/>
    </row>
    <row r="158" spans="1:1" x14ac:dyDescent="0.25">
      <c r="A158" s="83"/>
    </row>
    <row r="159" spans="1:1" x14ac:dyDescent="0.25">
      <c r="A159" s="83"/>
    </row>
    <row r="160" spans="1:1" x14ac:dyDescent="0.25">
      <c r="A160" s="83"/>
    </row>
    <row r="161" spans="1:1" x14ac:dyDescent="0.25">
      <c r="A161" s="83"/>
    </row>
    <row r="162" spans="1:1" x14ac:dyDescent="0.25">
      <c r="A162" s="83"/>
    </row>
    <row r="163" spans="1:1" x14ac:dyDescent="0.25">
      <c r="A163" s="83"/>
    </row>
    <row r="164" spans="1:1" x14ac:dyDescent="0.25">
      <c r="A164" s="83"/>
    </row>
    <row r="165" spans="1:1" x14ac:dyDescent="0.25">
      <c r="A165" s="83"/>
    </row>
    <row r="166" spans="1:1" x14ac:dyDescent="0.25">
      <c r="A166" s="83"/>
    </row>
    <row r="167" spans="1:1" x14ac:dyDescent="0.25">
      <c r="A167" s="83"/>
    </row>
    <row r="168" spans="1:1" x14ac:dyDescent="0.25">
      <c r="A168" s="83"/>
    </row>
    <row r="169" spans="1:1" x14ac:dyDescent="0.25">
      <c r="A169" s="83"/>
    </row>
    <row r="170" spans="1:1" x14ac:dyDescent="0.25">
      <c r="A170" s="83"/>
    </row>
    <row r="171" spans="1:1" x14ac:dyDescent="0.25">
      <c r="A171" s="83"/>
    </row>
    <row r="172" spans="1:1" x14ac:dyDescent="0.25">
      <c r="A172" s="83"/>
    </row>
    <row r="173" spans="1:1" x14ac:dyDescent="0.25">
      <c r="A173" s="83"/>
    </row>
    <row r="174" spans="1:1" x14ac:dyDescent="0.25">
      <c r="A174" s="83"/>
    </row>
    <row r="175" spans="1:1" x14ac:dyDescent="0.25">
      <c r="A175" s="83"/>
    </row>
    <row r="176" spans="1:1" x14ac:dyDescent="0.25">
      <c r="A176" s="83"/>
    </row>
    <row r="177" spans="1:1" x14ac:dyDescent="0.25">
      <c r="A177" s="83"/>
    </row>
    <row r="178" spans="1:1" x14ac:dyDescent="0.25">
      <c r="A178" s="83"/>
    </row>
    <row r="179" spans="1:1" x14ac:dyDescent="0.25">
      <c r="A179" s="83"/>
    </row>
    <row r="180" spans="1:1" x14ac:dyDescent="0.25">
      <c r="A180" s="83"/>
    </row>
    <row r="181" spans="1:1" x14ac:dyDescent="0.25">
      <c r="A181" s="83"/>
    </row>
    <row r="182" spans="1:1" x14ac:dyDescent="0.25">
      <c r="A182" s="83"/>
    </row>
    <row r="183" spans="1:1" x14ac:dyDescent="0.25">
      <c r="A183" s="83"/>
    </row>
    <row r="184" spans="1:1" x14ac:dyDescent="0.25">
      <c r="A184" s="83"/>
    </row>
    <row r="185" spans="1:1" x14ac:dyDescent="0.25">
      <c r="A185" s="83"/>
    </row>
    <row r="186" spans="1:1" x14ac:dyDescent="0.25">
      <c r="A186" s="83"/>
    </row>
    <row r="187" spans="1:1" x14ac:dyDescent="0.25">
      <c r="A187" s="83"/>
    </row>
    <row r="188" spans="1:1" x14ac:dyDescent="0.25">
      <c r="A188" s="83"/>
    </row>
    <row r="189" spans="1:1" x14ac:dyDescent="0.25">
      <c r="A189" s="83"/>
    </row>
    <row r="190" spans="1:1" x14ac:dyDescent="0.25">
      <c r="A190" s="83"/>
    </row>
    <row r="191" spans="1:1" x14ac:dyDescent="0.25">
      <c r="A191" s="83"/>
    </row>
    <row r="192" spans="1:1" x14ac:dyDescent="0.25">
      <c r="A192" s="83"/>
    </row>
    <row r="193" spans="1:1" x14ac:dyDescent="0.25">
      <c r="A193" s="83"/>
    </row>
    <row r="194" spans="1:1" x14ac:dyDescent="0.25">
      <c r="A194" s="83"/>
    </row>
    <row r="195" spans="1:1" x14ac:dyDescent="0.25">
      <c r="A195" s="83"/>
    </row>
    <row r="196" spans="1:1" x14ac:dyDescent="0.25">
      <c r="A196" s="83"/>
    </row>
    <row r="197" spans="1:1" x14ac:dyDescent="0.25">
      <c r="A197" s="83"/>
    </row>
  </sheetData>
  <sheetProtection password="E0D1" sheet="1" objects="1" scenarios="1"/>
  <mergeCells count="4">
    <mergeCell ref="D2:H2"/>
    <mergeCell ref="D1:H1"/>
    <mergeCell ref="I1:J2"/>
    <mergeCell ref="A1:C2"/>
  </mergeCells>
  <phoneticPr fontId="1" type="noConversion"/>
  <conditionalFormatting sqref="A10:P65">
    <cfRule type="expression" dxfId="2" priority="2">
      <formula>$P10=MIN($P$10:$P$65)</formula>
    </cfRule>
    <cfRule type="expression" dxfId="1" priority="5">
      <formula>$A10&lt;&gt;""</formula>
    </cfRule>
  </conditionalFormatting>
  <conditionalFormatting sqref="H10:H65">
    <cfRule type="containsText" dxfId="0" priority="3" operator="containsText" text="角度異常">
      <formula>NOT(ISERROR(SEARCH("角度異常",H10)))</formula>
    </cfRule>
  </conditionalFormatting>
  <dataValidations disablePrompts="1" count="3">
    <dataValidation type="list" allowBlank="1" showInputMessage="1" showErrorMessage="1" sqref="A142:A197">
      <formula1>伸臂長</formula1>
    </dataValidation>
    <dataValidation type="list" allowBlank="1" showInputMessage="1" showErrorMessage="1" promptTitle="輸入之長度應與附件一相同" sqref="A10:A65">
      <formula1>伸臂長</formula1>
    </dataValidation>
    <dataValidation type="list" allowBlank="1" showErrorMessage="1" sqref="A66:A141">
      <formula1>伸臂長</formula1>
    </dataValidation>
  </dataValidations>
  <printOptions horizontalCentered="1"/>
  <pageMargins left="0.31496062992125984" right="0.31496062992125984" top="0.59055118110236227" bottom="0" header="0.31496062992125984" footer="0.31496062992125984"/>
  <pageSetup paperSize="9" scale="85" firstPageNumber="6" orientation="landscape" useFirstPageNumber="1" r:id="rId1"/>
  <headerFooter>
    <oddHeader>&amp;L&amp;"微軟正黑體,粗體"&amp;14附件4 前方安定度計算(表列)</oddHeader>
    <oddFooter>&amp;C- &amp;P -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2</vt:i4>
      </vt:variant>
    </vt:vector>
  </HeadingPairs>
  <TitlesOfParts>
    <vt:vector size="7" baseType="lpstr">
      <vt:lpstr>安定度計算</vt:lpstr>
      <vt:lpstr>附件1 伸臂重心計算</vt:lpstr>
      <vt:lpstr>附件2 伸臂重量中之前端等價質量</vt:lpstr>
      <vt:lpstr>附件3 車台重心高度計算</vt:lpstr>
      <vt:lpstr>附件4 前方安定度計算</vt:lpstr>
      <vt:lpstr>'附件4 前方安定度計算'!Print_Titles</vt:lpstr>
      <vt:lpstr>伸臂長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B210</dc:creator>
  <cp:lastModifiedBy>212</cp:lastModifiedBy>
  <cp:lastPrinted>2021-12-23T08:54:25Z</cp:lastPrinted>
  <dcterms:created xsi:type="dcterms:W3CDTF">2019-12-04T08:41:51Z</dcterms:created>
  <dcterms:modified xsi:type="dcterms:W3CDTF">2021-12-23T08:55:44Z</dcterms:modified>
</cp:coreProperties>
</file>